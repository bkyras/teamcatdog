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Users\nicholas\Documents\Classes\IMGD3900\teamcatdog\Ass08\"/>
    </mc:Choice>
  </mc:AlternateContent>
  <bookViews>
    <workbookView xWindow="0" yWindow="0" windowWidth="28800" windowHeight="12210" firstSheet="12" activeTab="22"/>
  </bookViews>
  <sheets>
    <sheet name="Sheet22" sheetId="23" r:id="rId1"/>
    <sheet name="Sheet21" sheetId="22" r:id="rId2"/>
    <sheet name="Sheet20" sheetId="21" r:id="rId3"/>
    <sheet name="Sheet19" sheetId="20" r:id="rId4"/>
    <sheet name="Sheet18" sheetId="19" r:id="rId5"/>
    <sheet name="Sheet17" sheetId="18" r:id="rId6"/>
    <sheet name="Sheet16" sheetId="17" r:id="rId7"/>
    <sheet name="Sheet15" sheetId="16" r:id="rId8"/>
    <sheet name="Sheet14" sheetId="15" r:id="rId9"/>
    <sheet name="Sheet13" sheetId="14" r:id="rId10"/>
    <sheet name="Sheet12" sheetId="13" r:id="rId11"/>
    <sheet name="Sheet11" sheetId="12" r:id="rId12"/>
    <sheet name="Sheet10" sheetId="11" r:id="rId13"/>
    <sheet name="Sheet9" sheetId="10" r:id="rId14"/>
    <sheet name="Sheet8" sheetId="9" r:id="rId15"/>
    <sheet name="Sheet7" sheetId="8" r:id="rId16"/>
    <sheet name="Sheet6" sheetId="7" r:id="rId17"/>
    <sheet name="Sheet5" sheetId="6" r:id="rId18"/>
    <sheet name="Sheet4" sheetId="5" r:id="rId19"/>
    <sheet name="Sheet3" sheetId="4" r:id="rId20"/>
    <sheet name="Sheet2" sheetId="3" r:id="rId21"/>
    <sheet name="Sheet1" sheetId="2" r:id="rId22"/>
    <sheet name="NewData" sheetId="1" r:id="rId23"/>
  </sheets>
  <definedNames>
    <definedName name="_xlchart.v1.0" hidden="1">NewData!$N$8:$N$29</definedName>
    <definedName name="_xlchart.v1.1" hidden="1">NewData!$O$8:$O$29</definedName>
    <definedName name="_xlchart.v1.2" hidden="1">NewData!$A$47:$A$68</definedName>
    <definedName name="_xlchart.v1.3" hidden="1">NewData!$B$47:$B$68</definedName>
    <definedName name="_xlchart.v1.4" hidden="1">NewData!$A$47:$A$68</definedName>
    <definedName name="_xlchart.v1.5" hidden="1">NewData!$B$47:$B$68</definedName>
    <definedName name="_xlchart.v1.6" hidden="1">NewData!$B$47:$B$68</definedName>
    <definedName name="a1_" localSheetId="21">Sheet1!$A$1:$D$3</definedName>
    <definedName name="a10_" localSheetId="12">Sheet10!$A$1:$D$5</definedName>
    <definedName name="a11_" localSheetId="11">Sheet11!$A$1:$D$4</definedName>
    <definedName name="a12_" localSheetId="10">Sheet12!$A$1:$D$8</definedName>
    <definedName name="a13_" localSheetId="9">Sheet13!$A$1:$D$3</definedName>
    <definedName name="a14_" localSheetId="8">Sheet14!$A$1:$D$7</definedName>
    <definedName name="a15_" localSheetId="7">Sheet15!$A$1:$D$3</definedName>
    <definedName name="a16_" localSheetId="6">Sheet16!$A$1:$D$8</definedName>
    <definedName name="a17_" localSheetId="5">Sheet17!$A$1:$D$8</definedName>
    <definedName name="a18_" localSheetId="4">Sheet18!$A$1:$D$5</definedName>
    <definedName name="a19_" localSheetId="3">Sheet19!$A$1:$D$2</definedName>
    <definedName name="a2_" localSheetId="20">Sheet2!$A$1:$D$12</definedName>
    <definedName name="a20_" localSheetId="2">Sheet20!$A$1:$D$11</definedName>
    <definedName name="a21_" localSheetId="1">Sheet21!$A$1:$D$4</definedName>
    <definedName name="a22_" localSheetId="0">Sheet22!$A$1:$D$14</definedName>
    <definedName name="a3_" localSheetId="19">Sheet3!$A$1:$D$4</definedName>
    <definedName name="a4_" localSheetId="18">Sheet4!$A$1:$D$8</definedName>
    <definedName name="a5_" localSheetId="17">Sheet5!$A$1:$D$3</definedName>
    <definedName name="a6_" localSheetId="16">Sheet6!$A$1:$D$2</definedName>
    <definedName name="a7_" localSheetId="15">Sheet7!$A$1:$D$3</definedName>
    <definedName name="a8_" localSheetId="14">Sheet8!$A$1:$D$11</definedName>
    <definedName name="a9_" localSheetId="13">Sheet9!$A$1:$D$7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8" i="1" l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F33" i="1"/>
  <c r="F32" i="1"/>
  <c r="E36" i="1"/>
  <c r="F36" i="1" s="1"/>
  <c r="E35" i="1"/>
  <c r="F35" i="1" s="1"/>
  <c r="E34" i="1"/>
  <c r="E33" i="1"/>
  <c r="E32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19" i="22"/>
  <c r="B19" i="21"/>
  <c r="B19" i="20"/>
  <c r="B19" i="19"/>
  <c r="B19" i="18"/>
  <c r="B19" i="17"/>
  <c r="B19" i="16"/>
  <c r="B19" i="15"/>
  <c r="B19" i="14"/>
  <c r="B19" i="13"/>
  <c r="B19" i="12"/>
  <c r="B19" i="11"/>
  <c r="B19" i="10"/>
  <c r="B19" i="9"/>
  <c r="B19" i="8"/>
  <c r="B19" i="7"/>
  <c r="B19" i="6"/>
  <c r="B19" i="5"/>
  <c r="B19" i="4"/>
  <c r="B19" i="3"/>
  <c r="B19" i="2"/>
  <c r="B19" i="23"/>
  <c r="C18" i="22"/>
  <c r="C18" i="21"/>
  <c r="C18" i="20"/>
  <c r="C18" i="19"/>
  <c r="C18" i="18"/>
  <c r="C18" i="17"/>
  <c r="C18" i="16"/>
  <c r="C18" i="15"/>
  <c r="C18" i="14"/>
  <c r="C18" i="13"/>
  <c r="C18" i="12"/>
  <c r="C18" i="11"/>
  <c r="C18" i="10"/>
  <c r="C18" i="9"/>
  <c r="C18" i="8"/>
  <c r="C18" i="7"/>
  <c r="C18" i="6"/>
  <c r="C18" i="5"/>
  <c r="C18" i="4"/>
  <c r="C18" i="3"/>
  <c r="C18" i="2"/>
  <c r="C18" i="23"/>
  <c r="C17" i="22" a="1"/>
  <c r="C17" i="22" s="1"/>
  <c r="C17" i="21" a="1"/>
  <c r="C17" i="21" s="1"/>
  <c r="C17" i="20" a="1"/>
  <c r="C17" i="20" s="1"/>
  <c r="C17" i="19" a="1"/>
  <c r="C17" i="19" s="1"/>
  <c r="C17" i="18" a="1"/>
  <c r="C17" i="18" s="1"/>
  <c r="C17" i="17" a="1"/>
  <c r="C17" i="17" s="1"/>
  <c r="C17" i="16" a="1"/>
  <c r="C17" i="16" s="1"/>
  <c r="C17" i="15" a="1"/>
  <c r="C17" i="15" s="1"/>
  <c r="C17" i="14" a="1"/>
  <c r="C17" i="14" s="1"/>
  <c r="C17" i="13" a="1"/>
  <c r="C17" i="13" s="1"/>
  <c r="C17" i="12" a="1"/>
  <c r="C17" i="12" s="1"/>
  <c r="C17" i="11" a="1"/>
  <c r="C17" i="11" s="1"/>
  <c r="C17" i="10" a="1"/>
  <c r="C17" i="10" s="1"/>
  <c r="C17" i="9" a="1"/>
  <c r="C17" i="9" s="1"/>
  <c r="C17" i="8" a="1"/>
  <c r="C17" i="8" s="1"/>
  <c r="C17" i="7" a="1"/>
  <c r="C17" i="7" s="1"/>
  <c r="C17" i="6" a="1"/>
  <c r="C17" i="6" s="1"/>
  <c r="C17" i="5" a="1"/>
  <c r="C17" i="5" s="1"/>
  <c r="C17" i="4" a="1"/>
  <c r="C17" i="4" s="1"/>
  <c r="C17" i="3" a="1"/>
  <c r="C17" i="3" s="1"/>
  <c r="C17" i="2" a="1"/>
  <c r="C17" i="2" s="1"/>
  <c r="C17" i="23" a="1"/>
  <c r="C17" i="23" s="1"/>
  <c r="F17" i="22" a="1"/>
  <c r="F17" i="22" s="1"/>
  <c r="F17" i="21" a="1"/>
  <c r="F17" i="21"/>
  <c r="F17" i="20" a="1"/>
  <c r="F17" i="20" s="1"/>
  <c r="F17" i="19" a="1"/>
  <c r="F17" i="19"/>
  <c r="F17" i="18" a="1"/>
  <c r="F17" i="18" s="1"/>
  <c r="F17" i="17" a="1"/>
  <c r="F17" i="17"/>
  <c r="F17" i="16" a="1"/>
  <c r="F17" i="16" s="1"/>
  <c r="F17" i="15" a="1"/>
  <c r="F17" i="15"/>
  <c r="F17" i="14" a="1"/>
  <c r="F17" i="14" s="1"/>
  <c r="F17" i="13" a="1"/>
  <c r="F17" i="13"/>
  <c r="F17" i="12" a="1"/>
  <c r="F17" i="12" s="1"/>
  <c r="F17" i="11" a="1"/>
  <c r="F17" i="11"/>
  <c r="F17" i="10" a="1"/>
  <c r="F17" i="10" s="1"/>
  <c r="F17" i="9" a="1"/>
  <c r="F17" i="9"/>
  <c r="F17" i="8" a="1"/>
  <c r="F17" i="8" s="1"/>
  <c r="F17" i="7" a="1"/>
  <c r="F17" i="7"/>
  <c r="F17" i="6" a="1"/>
  <c r="F17" i="6" s="1"/>
  <c r="F17" i="5" a="1"/>
  <c r="F17" i="5"/>
  <c r="F17" i="4" a="1"/>
  <c r="F17" i="4" s="1"/>
  <c r="F17" i="3" a="1"/>
  <c r="F17" i="3"/>
  <c r="F17" i="2" a="1"/>
  <c r="F17" i="2" s="1"/>
  <c r="F17" i="23" a="1"/>
  <c r="F17" i="23"/>
  <c r="F14" i="22"/>
  <c r="F14" i="21"/>
  <c r="F14" i="20"/>
  <c r="F14" i="19"/>
  <c r="F14" i="18"/>
  <c r="F14" i="17"/>
  <c r="F14" i="16"/>
  <c r="F14" i="15"/>
  <c r="F14" i="14"/>
  <c r="F14" i="13"/>
  <c r="F14" i="12"/>
  <c r="F14" i="11"/>
  <c r="F14" i="10"/>
  <c r="F14" i="9"/>
  <c r="F14" i="8"/>
  <c r="F14" i="7"/>
  <c r="F14" i="6"/>
  <c r="F14" i="5"/>
  <c r="F14" i="4"/>
  <c r="F14" i="3"/>
  <c r="F14" i="2"/>
  <c r="F14" i="23"/>
  <c r="F13" i="22"/>
  <c r="F13" i="21"/>
  <c r="F13" i="20"/>
  <c r="F13" i="19"/>
  <c r="F13" i="18"/>
  <c r="F13" i="17"/>
  <c r="F13" i="16"/>
  <c r="F13" i="15"/>
  <c r="F13" i="14"/>
  <c r="F13" i="13"/>
  <c r="F13" i="12"/>
  <c r="F13" i="11"/>
  <c r="F13" i="10"/>
  <c r="F13" i="9"/>
  <c r="F13" i="8"/>
  <c r="F13" i="7"/>
  <c r="F13" i="6"/>
  <c r="F13" i="5"/>
  <c r="F13" i="4"/>
  <c r="F13" i="3"/>
  <c r="F13" i="2"/>
  <c r="F13" i="23"/>
  <c r="F12" i="22"/>
  <c r="F12" i="21"/>
  <c r="F12" i="20"/>
  <c r="F12" i="19"/>
  <c r="F12" i="18"/>
  <c r="F12" i="17"/>
  <c r="F12" i="16"/>
  <c r="F12" i="15"/>
  <c r="F12" i="14"/>
  <c r="F12" i="13"/>
  <c r="F12" i="12"/>
  <c r="F12" i="11"/>
  <c r="F12" i="10"/>
  <c r="F12" i="9"/>
  <c r="F12" i="8"/>
  <c r="F12" i="7"/>
  <c r="F12" i="6"/>
  <c r="F12" i="5"/>
  <c r="F12" i="4"/>
  <c r="F12" i="3"/>
  <c r="F12" i="2"/>
  <c r="F12" i="23"/>
  <c r="F11" i="22"/>
  <c r="F11" i="21"/>
  <c r="F11" i="20"/>
  <c r="F11" i="19"/>
  <c r="F11" i="18"/>
  <c r="F11" i="17"/>
  <c r="F11" i="16"/>
  <c r="F11" i="15"/>
  <c r="F11" i="14"/>
  <c r="F11" i="13"/>
  <c r="F11" i="12"/>
  <c r="F11" i="11"/>
  <c r="F11" i="10"/>
  <c r="F11" i="9"/>
  <c r="F11" i="8"/>
  <c r="F11" i="7"/>
  <c r="F11" i="6"/>
  <c r="F11" i="5"/>
  <c r="F11" i="4"/>
  <c r="F11" i="3"/>
  <c r="F11" i="2"/>
  <c r="F11" i="23"/>
  <c r="F10" i="22"/>
  <c r="F10" i="21"/>
  <c r="F10" i="20"/>
  <c r="F10" i="19"/>
  <c r="F10" i="18"/>
  <c r="F10" i="17"/>
  <c r="F10" i="16"/>
  <c r="F10" i="15"/>
  <c r="F10" i="14"/>
  <c r="F10" i="13"/>
  <c r="F10" i="12"/>
  <c r="F10" i="11"/>
  <c r="F10" i="10"/>
  <c r="F10" i="9"/>
  <c r="F10" i="8"/>
  <c r="F10" i="7"/>
  <c r="F10" i="6"/>
  <c r="F10" i="5"/>
  <c r="F10" i="4"/>
  <c r="F10" i="3"/>
  <c r="F10" i="2"/>
  <c r="F10" i="23"/>
  <c r="F9" i="22"/>
  <c r="F9" i="21"/>
  <c r="F9" i="20"/>
  <c r="F9" i="19"/>
  <c r="F9" i="18"/>
  <c r="F9" i="17"/>
  <c r="F9" i="16"/>
  <c r="F9" i="15"/>
  <c r="F9" i="14"/>
  <c r="F9" i="13"/>
  <c r="F9" i="12"/>
  <c r="F9" i="11"/>
  <c r="F9" i="10"/>
  <c r="F9" i="9"/>
  <c r="F9" i="8"/>
  <c r="F9" i="7"/>
  <c r="F9" i="6"/>
  <c r="F9" i="5"/>
  <c r="F9" i="4"/>
  <c r="F9" i="3"/>
  <c r="F9" i="2"/>
  <c r="F9" i="23"/>
  <c r="F8" i="22"/>
  <c r="F8" i="21"/>
  <c r="F8" i="20"/>
  <c r="F8" i="19"/>
  <c r="F8" i="18"/>
  <c r="F8" i="17"/>
  <c r="F8" i="16"/>
  <c r="F8" i="15"/>
  <c r="F8" i="14"/>
  <c r="F8" i="13"/>
  <c r="F8" i="12"/>
  <c r="F8" i="11"/>
  <c r="F8" i="10"/>
  <c r="F8" i="9"/>
  <c r="F8" i="8"/>
  <c r="F8" i="7"/>
  <c r="F8" i="6"/>
  <c r="F8" i="5"/>
  <c r="F8" i="4"/>
  <c r="F8" i="3"/>
  <c r="F8" i="2"/>
  <c r="F8" i="23"/>
  <c r="F7" i="22"/>
  <c r="F7" i="21"/>
  <c r="F7" i="20"/>
  <c r="F7" i="19"/>
  <c r="F7" i="18"/>
  <c r="F7" i="17"/>
  <c r="F7" i="16"/>
  <c r="F7" i="15"/>
  <c r="F7" i="14"/>
  <c r="F7" i="13"/>
  <c r="F7" i="12"/>
  <c r="F7" i="11"/>
  <c r="F7" i="10"/>
  <c r="F7" i="9"/>
  <c r="F7" i="8"/>
  <c r="F7" i="7"/>
  <c r="F7" i="6"/>
  <c r="F7" i="5"/>
  <c r="F7" i="4"/>
  <c r="F7" i="3"/>
  <c r="F7" i="2"/>
  <c r="F7" i="23"/>
  <c r="F6" i="22"/>
  <c r="F6" i="21"/>
  <c r="F6" i="20"/>
  <c r="F6" i="19"/>
  <c r="F6" i="18"/>
  <c r="F6" i="17"/>
  <c r="F6" i="16"/>
  <c r="F6" i="15"/>
  <c r="F6" i="14"/>
  <c r="F6" i="13"/>
  <c r="F6" i="12"/>
  <c r="F6" i="11"/>
  <c r="F6" i="10"/>
  <c r="F6" i="9"/>
  <c r="F6" i="8"/>
  <c r="F6" i="7"/>
  <c r="F6" i="6"/>
  <c r="F6" i="5"/>
  <c r="F6" i="4"/>
  <c r="F6" i="3"/>
  <c r="F6" i="2"/>
  <c r="F6" i="23"/>
  <c r="F5" i="22"/>
  <c r="F5" i="21"/>
  <c r="F5" i="20"/>
  <c r="F5" i="19"/>
  <c r="F5" i="18"/>
  <c r="F5" i="17"/>
  <c r="F5" i="16"/>
  <c r="F5" i="15"/>
  <c r="F5" i="14"/>
  <c r="F5" i="13"/>
  <c r="F5" i="12"/>
  <c r="F5" i="11"/>
  <c r="F5" i="10"/>
  <c r="F5" i="9"/>
  <c r="F5" i="8"/>
  <c r="F5" i="7"/>
  <c r="F5" i="6"/>
  <c r="F5" i="5"/>
  <c r="F5" i="4"/>
  <c r="F5" i="3"/>
  <c r="F5" i="2"/>
  <c r="F5" i="23"/>
  <c r="F4" i="22"/>
  <c r="F4" i="21"/>
  <c r="F4" i="20"/>
  <c r="F4" i="19"/>
  <c r="F4" i="18"/>
  <c r="F4" i="17"/>
  <c r="F4" i="16"/>
  <c r="F4" i="15"/>
  <c r="F4" i="14"/>
  <c r="F4" i="13"/>
  <c r="F4" i="12"/>
  <c r="F4" i="11"/>
  <c r="F4" i="10"/>
  <c r="F4" i="9"/>
  <c r="F4" i="8"/>
  <c r="F4" i="7"/>
  <c r="F4" i="6"/>
  <c r="F4" i="5"/>
  <c r="F4" i="4"/>
  <c r="F4" i="3"/>
  <c r="F4" i="2"/>
  <c r="F4" i="23"/>
  <c r="F3" i="22"/>
  <c r="F3" i="21"/>
  <c r="F3" i="20"/>
  <c r="F3" i="19"/>
  <c r="F3" i="18"/>
  <c r="F3" i="17"/>
  <c r="F3" i="16"/>
  <c r="F3" i="15"/>
  <c r="F3" i="14"/>
  <c r="F3" i="13"/>
  <c r="F3" i="12"/>
  <c r="F3" i="11"/>
  <c r="F3" i="10"/>
  <c r="F3" i="9"/>
  <c r="F3" i="8"/>
  <c r="F3" i="7"/>
  <c r="F3" i="6"/>
  <c r="F3" i="5"/>
  <c r="F3" i="4"/>
  <c r="F3" i="3"/>
  <c r="F3" i="2"/>
  <c r="F3" i="23"/>
  <c r="F2" i="22"/>
  <c r="F2" i="21"/>
  <c r="F2" i="20"/>
  <c r="F2" i="19"/>
  <c r="F2" i="18"/>
  <c r="F2" i="17"/>
  <c r="F2" i="16"/>
  <c r="F2" i="15"/>
  <c r="F2" i="14"/>
  <c r="F2" i="13"/>
  <c r="F2" i="12"/>
  <c r="F2" i="11"/>
  <c r="F2" i="10"/>
  <c r="F2" i="9"/>
  <c r="F2" i="8"/>
  <c r="F2" i="7"/>
  <c r="F2" i="6"/>
  <c r="F2" i="5"/>
  <c r="F2" i="4"/>
  <c r="F2" i="3"/>
  <c r="F2" i="2"/>
  <c r="F2" i="23"/>
  <c r="E38" i="1" l="1"/>
  <c r="E39" i="1"/>
  <c r="F34" i="1"/>
  <c r="E37" i="1"/>
  <c r="F37" i="1" l="1"/>
  <c r="F39" i="1"/>
  <c r="E40" i="1"/>
  <c r="E43" i="1" s="1"/>
  <c r="E42" i="1"/>
  <c r="F38" i="1"/>
  <c r="E41" i="1"/>
  <c r="E44" i="1" l="1"/>
  <c r="F40" i="1"/>
  <c r="F43" i="1" s="1"/>
  <c r="F42" i="1"/>
  <c r="F41" i="1"/>
  <c r="F44" i="1" l="1"/>
</calcChain>
</file>

<file path=xl/connections.xml><?xml version="1.0" encoding="utf-8"?>
<connections xmlns="http://schemas.openxmlformats.org/spreadsheetml/2006/main">
  <connection id="1" name="thataway_nchaput_THU_02_FEB_2017_03_20_37_095PM" type="6" refreshedVersion="6" background="1" saveData="1">
    <textPr prompt="0" codePage="437" sourceFile="E:\Users\nicholas\Documents\Classes\IMGD3900\teamcatdog\Ass08\newdata\thataway_nchaput_THU_02_FEB_2017_03_20_37_095PM.csv" tab="0" comma="1">
      <textFields count="3">
        <textField/>
        <textField/>
        <textField/>
      </textFields>
    </textPr>
  </connection>
  <connection id="2" name="thataway_nchaput_THU_02_FEB_2017_03_24_06_173PM" type="6" refreshedVersion="6" background="1" saveData="1">
    <textPr prompt="0" codePage="437" sourceFile="E:\Users\nicholas\Documents\Classes\IMGD3900\teamcatdog\Ass08\newdata\thataway_nchaput_THU_02_FEB_2017_03_24_06_173PM.csv" tab="0" comma="1">
      <textFields count="3">
        <textField/>
        <textField/>
        <textField/>
      </textFields>
    </textPr>
  </connection>
  <connection id="3" name="thataway_nchaput_THU_02_FEB_2017_04_49_23_320PM" type="6" refreshedVersion="6" background="1" saveData="1">
    <textPr prompt="0" codePage="437" sourceFile="E:\Users\nicholas\Documents\Classes\IMGD3900\teamcatdog\Ass08\newdata\thataway_nchaput_THU_02_FEB_2017_04_49_23_320PM.csv" tab="0" comma="1">
      <textFields count="3">
        <textField/>
        <textField/>
        <textField/>
      </textFields>
    </textPr>
  </connection>
  <connection id="4" name="thataway_nchaput_TUE_31_JAN_2017_03_20_10_959AM" type="6" refreshedVersion="6" background="1" saveData="1">
    <textPr prompt="0" codePage="437" sourceFile="E:\Users\nicholas\Documents\Classes\IMGD3900\teamcatdog\Ass08\newdata\thataway_nchaput_TUE_31_JAN_2017_03_20_10_959AM.csv" tab="0" comma="1">
      <textFields count="3">
        <textField/>
        <textField/>
        <textField/>
      </textFields>
    </textPr>
  </connection>
  <connection id="5" name="thataway_nchaput_TUE_31_JAN_2017_09_05_22_955AM" type="6" refreshedVersion="6" background="1" saveData="1">
    <textPr prompt="0" codePage="437" sourceFile="E:\Users\nicholas\Documents\Classes\IMGD3900\teamcatdog\Ass08\newdata\thataway_nchaput_TUE_31_JAN_2017_09_05_22_955AM.csv" tab="0" comma="1">
      <textFields count="3">
        <textField/>
        <textField/>
        <textField/>
      </textFields>
    </textPr>
  </connection>
  <connection id="6" name="thataway_nchaput_TUE_31_JAN_2017_10_08_44_390AM" type="6" refreshedVersion="6" background="1" saveData="1">
    <textPr prompt="0" codePage="437" sourceFile="E:\Users\nicholas\Documents\Classes\IMGD3900\teamcatdog\Ass08\newdata\thataway_nchaput_TUE_31_JAN_2017_10_08_44_390AM.csv" tab="0" comma="1">
      <textFields count="3">
        <textField/>
        <textField/>
        <textField/>
      </textFields>
    </textPr>
  </connection>
  <connection id="7" name="thataway_nchaput_TUE_31_JAN_2017_10_19_16_859AM" type="6" refreshedVersion="6" background="1" saveData="1">
    <textPr prompt="0" codePage="437" sourceFile="E:\Users\nicholas\Documents\Classes\IMGD3900\teamcatdog\Ass08\newdata\thataway_nchaput_TUE_31_JAN_2017_10_19_16_859AM.csv" tab="0" comma="1">
      <textFields count="3">
        <textField/>
        <textField/>
        <textField/>
      </textFields>
    </textPr>
  </connection>
  <connection id="8" name="thataway_nchaput_TUE_31_JAN_2017_10_35_26_668AM" type="6" refreshedVersion="6" background="1" saveData="1">
    <textPr prompt="0" codePage="437" sourceFile="E:\Users\nicholas\Documents\Classes\IMGD3900\teamcatdog\Ass08\newdata\thataway_nchaput_TUE_31_JAN_2017_10_35_26_668AM.csv" tab="0" comma="1">
      <textFields count="3">
        <textField/>
        <textField/>
        <textField/>
      </textFields>
    </textPr>
  </connection>
  <connection id="9" name="thataway_nchaput_TUE_31_JAN_2017_10_38_44_221AM" type="6" refreshedVersion="6" background="1" saveData="1">
    <textPr prompt="0" codePage="437" sourceFile="E:\Users\nicholas\Documents\Classes\IMGD3900\teamcatdog\Ass08\newdata\thataway_nchaput_TUE_31_JAN_2017_10_38_44_221AM.csv" tab="0" comma="1">
      <textFields count="3">
        <textField/>
        <textField/>
        <textField/>
      </textFields>
    </textPr>
  </connection>
  <connection id="10" name="thataway_nchaput_TUE_31_JAN_2017_10_38_50_078AM" type="6" refreshedVersion="6" background="1" saveData="1">
    <textPr prompt="0" codePage="437" sourceFile="E:\Users\nicholas\Documents\Classes\IMGD3900\teamcatdog\Ass08\newdata\thataway_nchaput_TUE_31_JAN_2017_10_38_50_078AM.csv" tab="0" comma="1">
      <textFields count="3">
        <textField/>
        <textField/>
        <textField/>
      </textFields>
    </textPr>
  </connection>
  <connection id="11" name="thataway_nchaput_TUE_31_JAN_2017_10_39_43_246AM" type="6" refreshedVersion="6" background="1" saveData="1">
    <textPr prompt="0" codePage="437" sourceFile="E:\Users\nicholas\Documents\Classes\IMGD3900\teamcatdog\Ass08\newdata\thataway_nchaput_TUE_31_JAN_2017_10_39_43_246AM.csv" tab="0" comma="1">
      <textFields count="3">
        <textField/>
        <textField/>
        <textField/>
      </textFields>
    </textPr>
  </connection>
  <connection id="12" name="thataway_nchaput_TUE_31_JAN_2017_10_40_10_605AM" type="6" refreshedVersion="6" background="1" saveData="1">
    <textPr prompt="0" codePage="437" sourceFile="E:\Users\nicholas\Documents\Classes\IMGD3900\teamcatdog\Ass08\newdata\thataway_nchaput_TUE_31_JAN_2017_10_40_10_605AM.csv" tab="0" comma="1">
      <textFields count="3">
        <textField/>
        <textField/>
        <textField/>
      </textFields>
    </textPr>
  </connection>
  <connection id="13" name="thataway_nchaput_TUE_31_JAN_2017_10_40_33_890AM" type="6" refreshedVersion="6" background="1" saveData="1">
    <textPr prompt="0" codePage="437" sourceFile="E:\Users\nicholas\Documents\Classes\IMGD3900\teamcatdog\Ass08\newdata\thataway_nchaput_TUE_31_JAN_2017_10_40_33_890AM.csv" tab="0" comma="1">
      <textFields count="3">
        <textField/>
        <textField/>
        <textField/>
      </textFields>
    </textPr>
  </connection>
  <connection id="14" name="thataway_nchaput_TUE_31_JAN_2017_10_40_34_855AM" type="6" refreshedVersion="6" background="1" saveData="1">
    <textPr prompt="0" codePage="437" sourceFile="E:\Users\nicholas\Documents\Classes\IMGD3900\teamcatdog\Ass08\newdata\thataway_nchaput_TUE_31_JAN_2017_10_40_34_855AM.csv" tab="0" comma="1">
      <textFields count="3">
        <textField/>
        <textField/>
        <textField/>
      </textFields>
    </textPr>
  </connection>
  <connection id="15" name="thataway_nchaput_TUE_31_JAN_2017_10_40_34_855AM(1)" type="6" refreshedVersion="6" background="1" saveData="1">
    <textPr prompt="0" codePage="437" sourceFile="E:\Users\nicholas\Documents\Classes\IMGD3900\teamcatdog\Ass08\newdata\thataway_nchaput_TUE_31_JAN_2017_10_40_34_855AM(1).csv" tab="0" comma="1">
      <textFields count="3">
        <textField/>
        <textField/>
        <textField/>
      </textFields>
    </textPr>
  </connection>
  <connection id="16" name="thataway_nchaput_TUE_31_JAN_2017_10_44_12_290AM" type="6" refreshedVersion="6" background="1" saveData="1">
    <textPr prompt="0" codePage="437" sourceFile="E:\Users\nicholas\Documents\Classes\IMGD3900\teamcatdog\Ass08\newdata\thataway_nchaput_TUE_31_JAN_2017_10_44_12_290AM.csv" tab="0" comma="1">
      <textFields count="3">
        <textField/>
        <textField/>
        <textField/>
      </textFields>
    </textPr>
  </connection>
  <connection id="17" name="thataway_nchaput_TUE_31_JAN_2017_11_09_45_912AM" type="6" refreshedVersion="6" background="1" saveData="1">
    <textPr prompt="0" codePage="437" sourceFile="E:\Users\nicholas\Documents\Classes\IMGD3900\teamcatdog\Ass08\newdata\thataway_nchaput_TUE_31_JAN_2017_11_09_45_912AM.csv" tab="0" comma="1">
      <textFields count="3">
        <textField/>
        <textField/>
        <textField/>
      </textFields>
    </textPr>
  </connection>
  <connection id="18" name="thataway_nchaput_WED_01_FEB_2017_01_16_19_616AM" type="6" refreshedVersion="6" background="1" saveData="1">
    <textPr prompt="0" codePage="437" sourceFile="E:\Users\nicholas\Documents\Classes\IMGD3900\teamcatdog\Ass08\newdata\thataway_nchaput_WED_01_FEB_2017_01_16_19_616AM.csv" tab="0" comma="1">
      <textFields count="3">
        <textField/>
        <textField/>
        <textField/>
      </textFields>
    </textPr>
  </connection>
  <connection id="19" name="thataway_nchaput_WED_01_FEB_2017_08_13_59_545PM" type="6" refreshedVersion="6" background="1" saveData="1">
    <textPr prompt="0" codePage="437" sourceFile="E:\Users\nicholas\Documents\Classes\IMGD3900\teamcatdog\Ass08\newdata\thataway_nchaput_WED_01_FEB_2017_08_13_59_545PM.csv" tab="0" comma="1">
      <textFields count="3">
        <textField/>
        <textField/>
        <textField/>
      </textFields>
    </textPr>
  </connection>
  <connection id="20" name="thataway_nchaput_WED_01_FEB_2017_08_25_33_780PM" type="6" refreshedVersion="6" background="1" saveData="1">
    <textPr prompt="0" codePage="437" sourceFile="E:\Users\nicholas\Documents\Classes\IMGD3900\teamcatdog\Ass08\newdata\thataway_nchaput_WED_01_FEB_2017_08_25_33_780PM.csv" tab="0" comma="1">
      <textFields count="3">
        <textField/>
        <textField/>
        <textField/>
      </textFields>
    </textPr>
  </connection>
  <connection id="21" name="thatawayfinal_nchaput_THU_02_FEB_2017_03_06_58_662PM" type="6" refreshedVersion="6" background="1" saveData="1">
    <textPr prompt="0" codePage="437" sourceFile="E:\Users\nicholas\Documents\Classes\IMGD3900\teamcatdog\Ass08\newdata\thatawayfinal_nchaput_THU_02_FEB_2017_03_06_58_662PM.csv" tab="0" comma="1">
      <textFields count="3">
        <textField/>
        <textField/>
        <textField/>
      </textFields>
    </textPr>
  </connection>
  <connection id="22" name="thatawayfinal_nchaput_THU_02_FEB_2017_03_15_39_762PM" type="6" refreshedVersion="6" background="1" saveData="1">
    <textPr prompt="0" codePage="437" sourceFile="E:\Users\nicholas\Documents\Classes\IMGD3900\teamcatdog\Ass08\newdata\thatawayfinal_nchaput_THU_02_FEB_2017_03_15_39_762PM.csv" tab="0" comma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<sst xmlns="http://schemas.openxmlformats.org/spreadsheetml/2006/main" count="125" uniqueCount="19">
  <si>
    <t>time</t>
  </si>
  <si>
    <t>level</t>
  </si>
  <si>
    <t>leveltime</t>
  </si>
  <si>
    <t>moves</t>
  </si>
  <si>
    <t>Avg sec/move</t>
  </si>
  <si>
    <t>Sheet1</t>
  </si>
  <si>
    <t>MaxLevelCompleted</t>
  </si>
  <si>
    <t>Sheet2</t>
  </si>
  <si>
    <t>Sheet3</t>
  </si>
  <si>
    <t>Before Tutorial</t>
  </si>
  <si>
    <t>After Tutorial</t>
  </si>
  <si>
    <t>After tutorial added</t>
  </si>
  <si>
    <t>Before tutorial added</t>
  </si>
  <si>
    <t>Average time per level</t>
  </si>
  <si>
    <t>old</t>
  </si>
  <si>
    <t>new</t>
  </si>
  <si>
    <t>Average time per move</t>
  </si>
  <si>
    <t>New</t>
  </si>
  <si>
    <t>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</si>
</sst>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7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Number</a:t>
            </a:r>
            <a:r>
              <a:rPr lang="en-US" baseline="0"/>
              <a:t> of Players who Completed # of Levels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NewData!$E$31</c:f>
              <c:strCache>
                <c:ptCount val="1"/>
                <c:pt idx="0">
                  <c:v>Before tutorial added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NewData!$D$32:$D$44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cat>
          <c:val>
            <c:numRef>
              <c:f>NewData!$E$32:$E$44</c:f>
              <c:numCache>
                <c:formatCode>General</c:formatCode>
                <c:ptCount val="13"/>
                <c:pt idx="0">
                  <c:v>7</c:v>
                </c:pt>
                <c:pt idx="1">
                  <c:v>2</c:v>
                </c:pt>
                <c:pt idx="2">
                  <c:v>3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2A-4B9E-B52E-3C1391503708}"/>
            </c:ext>
          </c:extLst>
        </c:ser>
        <c:ser>
          <c:idx val="1"/>
          <c:order val="1"/>
          <c:tx>
            <c:strRef>
              <c:f>NewData!$F$31</c:f>
              <c:strCache>
                <c:ptCount val="1"/>
                <c:pt idx="0">
                  <c:v>After tutorial added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NewData!$D$32:$D$44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cat>
          <c:val>
            <c:numRef>
              <c:f>NewData!$F$32:$F$44</c:f>
              <c:numCache>
                <c:formatCode>General</c:formatCode>
                <c:ptCount val="13"/>
                <c:pt idx="0">
                  <c:v>4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2A-4B9E-B52E-3C1391503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9734520"/>
        <c:axId val="589734848"/>
      </c:barChart>
      <c:catAx>
        <c:axId val="589734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</a:t>
                </a:r>
                <a:r>
                  <a:rPr lang="en-US" baseline="0"/>
                  <a:t> of Levels Completed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734848"/>
        <c:crosses val="autoZero"/>
        <c:auto val="1"/>
        <c:lblAlgn val="ctr"/>
        <c:lblOffset val="100"/>
        <c:noMultiLvlLbl val="0"/>
      </c:catAx>
      <c:valAx>
        <c:axId val="58973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 of Players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734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</cx:chartData>
  <cx:chart>
    <cx:title pos="t" align="ctr" overlay="0">
      <cx:tx>
        <cx:txData>
          <cx:v>Average Time per Level (seconds) by Player Before and After Implementing the Tutorial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Average Time per Level (seconds) by Player Before and After Implementing the Tutorial</a:t>
          </a:r>
        </a:p>
      </cx:txPr>
    </cx:title>
    <cx:plotArea>
      <cx:plotAreaRegion>
        <cx:series layoutId="boxWhisker" uniqueId="{39B35C87-6B7C-4535-8A80-24AEFB3F36BE}">
          <cx:dataId val="0"/>
          <cx:layoutPr>
            <cx:visibility meanLine="0" meanMarker="1" nonoutliers="0" outliers="0"/>
            <cx:statistics quartileMethod="exclusive"/>
          </cx:layoutPr>
        </cx:series>
        <cx:series layoutId="boxWhisker" uniqueId="{271D9182-E8E5-4343-890E-DD567414DFD7}">
          <cx:dataId val="1"/>
          <cx:layoutPr>
            <cx:visibility meanLine="0" meanMarker="1" nonoutliers="0" outliers="0"/>
            <cx:statistics quartileMethod="exclusive"/>
          </cx:layoutPr>
        </cx:series>
      </cx:plotAreaRegion>
      <cx:axis id="0" hidden="1">
        <cx:catScaling gapWidth="1"/>
        <cx:title>
          <cx:tx>
            <cx:txData>
              <cx:v>Before tutorial added (left) and After tutorial added (right)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Before tutorial added (left) and After tutorial added (right)</a:t>
              </a:r>
            </a:p>
          </cx:txPr>
        </cx:title>
        <cx:tickLabels/>
      </cx:axis>
      <cx:axis id="1">
        <cx:valScaling/>
        <cx:title>
          <cx:tx>
            <cx:txData>
              <cx:v>Average Level Completion Time in Seconds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Average Level Completion Time in Seconds</a:t>
              </a:r>
            </a:p>
          </cx:txPr>
        </cx:title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  <cx:data id="1">
      <cx:numDim type="val">
        <cx:f>_xlchart.v1.3</cx:f>
      </cx:numDim>
    </cx:data>
  </cx:chartData>
  <cx:chart>
    <cx:title pos="t" align="ctr" overlay="0">
      <cx:tx>
        <cx:txData>
          <cx:v>Average Time between Attempts Before and After Tutorial was Added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Average Time between Attempts Before and After Tutorial was Added</a:t>
          </a:r>
        </a:p>
      </cx:txPr>
    </cx:title>
    <cx:plotArea>
      <cx:plotAreaRegion>
        <cx:series layoutId="boxWhisker" uniqueId="{8EB97B4F-F267-475E-A81A-B3D89573DBEC}">
          <cx:dataId val="0"/>
          <cx:layoutPr>
            <cx:visibility meanLine="0" meanMarker="1" nonoutliers="0" outliers="0"/>
            <cx:statistics quartileMethod="exclusive"/>
          </cx:layoutPr>
        </cx:series>
        <cx:series layoutId="boxWhisker" uniqueId="{1FB9BAC7-2C5B-4EF0-AF86-DFC993A1831D}">
          <cx:dataId val="1"/>
          <cx:layoutPr>
            <cx:visibility meanLine="0" meanMarker="1" nonoutliers="0" outliers="0"/>
            <cx:statistics quartileMethod="exclusive"/>
          </cx:layoutPr>
        </cx:series>
      </cx:plotAreaRegion>
      <cx:axis id="0" hidden="1">
        <cx:catScaling gapWidth="1"/>
        <cx:title>
          <cx:tx>
            <cx:txData>
              <cx:v>Before tutorial added (left) and After tutorial added (right)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Before tutorial added (left) and After tutorial added (right)</a:t>
              </a:r>
            </a:p>
          </cx:txPr>
        </cx:title>
        <cx:tickLabels/>
      </cx:axis>
      <cx:axis id="1">
        <cx:valScaling/>
        <cx:title>
          <cx:tx>
            <cx:txData>
              <cx:v>Average Time in Seconds Between Attempts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Average Time in Seconds Between Attempts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314325</xdr:colOff>
          <xdr:row>1</xdr:row>
          <xdr:rowOff>161925</xdr:rowOff>
        </xdr:from>
        <xdr:to>
          <xdr:col>3</xdr:col>
          <xdr:colOff>9525</xdr:colOff>
          <xdr:row>3</xdr:row>
          <xdr:rowOff>85725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285750</xdr:colOff>
      <xdr:row>18</xdr:row>
      <xdr:rowOff>126423</xdr:rowOff>
    </xdr:from>
    <xdr:to>
      <xdr:col>23</xdr:col>
      <xdr:colOff>8659</xdr:colOff>
      <xdr:row>33</xdr:row>
      <xdr:rowOff>12123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285750</xdr:colOff>
      <xdr:row>3</xdr:row>
      <xdr:rowOff>100445</xdr:rowOff>
    </xdr:from>
    <xdr:to>
      <xdr:col>23</xdr:col>
      <xdr:colOff>8659</xdr:colOff>
      <xdr:row>17</xdr:row>
      <xdr:rowOff>176645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00000000-0008-0000-16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429750" y="671945"/>
              <a:ext cx="4599709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77931</xdr:colOff>
      <xdr:row>40</xdr:row>
      <xdr:rowOff>83127</xdr:rowOff>
    </xdr:from>
    <xdr:to>
      <xdr:col>15</xdr:col>
      <xdr:colOff>406977</xdr:colOff>
      <xdr:row>54</xdr:row>
      <xdr:rowOff>159327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00000000-0008-0000-16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54731" y="7703127"/>
              <a:ext cx="4596246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queryTables/queryTable1.xml><?xml version="1.0" encoding="utf-8"?>
<queryTable xmlns="http://schemas.openxmlformats.org/spreadsheetml/2006/main" name="a22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a21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a20" connectionId="1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a19" connectionId="1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a18" connectionId="1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a17" connectionId="1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a16" connectionId="1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a15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a14" connectionId="1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a13" connectionId="1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a12" connectionId="1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a11" connectionId="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a10" connectionId="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a9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a8" connectionId="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a7" connectionId="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a6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a5" connectionId="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a4" connectionId="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a3" connectionId="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a2" connectionId="2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a1" connectionId="2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workbookViewId="0">
      <selection activeCell="B19" sqref="B19"/>
    </sheetView>
  </sheetViews>
  <sheetFormatPr defaultRowHeight="15" x14ac:dyDescent="0.25"/>
  <cols>
    <col min="1" max="1" width="7.140625" bestFit="1" customWidth="1"/>
    <col min="2" max="2" width="8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5.3668981481481491E-5</v>
      </c>
      <c r="B2">
        <v>1</v>
      </c>
      <c r="C2">
        <v>4629</v>
      </c>
      <c r="D2">
        <v>1</v>
      </c>
      <c r="F2">
        <f t="shared" ref="F2:F14" si="0">C2/(D2*1000)</f>
        <v>4.6289999999999996</v>
      </c>
    </row>
    <row r="3" spans="1:6" x14ac:dyDescent="0.25">
      <c r="A3" s="1">
        <v>5.1329861111111107E-4</v>
      </c>
      <c r="B3">
        <v>2</v>
      </c>
      <c r="C3">
        <v>32464</v>
      </c>
      <c r="D3">
        <v>3</v>
      </c>
      <c r="F3">
        <f t="shared" si="0"/>
        <v>10.821333333333333</v>
      </c>
    </row>
    <row r="4" spans="1:6" x14ac:dyDescent="0.25">
      <c r="A4" s="1">
        <v>1.0918055555555557E-3</v>
      </c>
      <c r="B4">
        <v>3</v>
      </c>
      <c r="C4">
        <v>49262</v>
      </c>
      <c r="D4">
        <v>6</v>
      </c>
      <c r="F4">
        <f t="shared" si="0"/>
        <v>8.2103333333333328</v>
      </c>
    </row>
    <row r="5" spans="1:6" x14ac:dyDescent="0.25">
      <c r="A5" s="1">
        <v>2.399872685185185E-3</v>
      </c>
      <c r="B5">
        <v>4</v>
      </c>
      <c r="C5">
        <v>112161</v>
      </c>
      <c r="D5">
        <v>6</v>
      </c>
      <c r="F5">
        <f t="shared" si="0"/>
        <v>18.6935</v>
      </c>
    </row>
    <row r="6" spans="1:6" x14ac:dyDescent="0.25">
      <c r="A6" s="1">
        <v>3.2921875E-3</v>
      </c>
      <c r="B6">
        <v>5</v>
      </c>
      <c r="C6">
        <v>76352</v>
      </c>
      <c r="D6">
        <v>5</v>
      </c>
      <c r="F6">
        <f t="shared" si="0"/>
        <v>15.2704</v>
      </c>
    </row>
    <row r="7" spans="1:6" x14ac:dyDescent="0.25">
      <c r="A7" s="1">
        <v>3.9895833333333337E-3</v>
      </c>
      <c r="B7">
        <v>6</v>
      </c>
      <c r="C7">
        <v>59419</v>
      </c>
      <c r="D7">
        <v>5</v>
      </c>
      <c r="F7">
        <f t="shared" si="0"/>
        <v>11.883800000000001</v>
      </c>
    </row>
    <row r="8" spans="1:6" x14ac:dyDescent="0.25">
      <c r="A8" s="1">
        <v>5.2537731481481472E-3</v>
      </c>
      <c r="B8">
        <v>7</v>
      </c>
      <c r="C8">
        <v>108584</v>
      </c>
      <c r="D8">
        <v>7</v>
      </c>
      <c r="F8">
        <f t="shared" si="0"/>
        <v>15.512</v>
      </c>
    </row>
    <row r="9" spans="1:6" x14ac:dyDescent="0.25">
      <c r="A9" s="1">
        <v>6.3313773148148149E-3</v>
      </c>
      <c r="B9">
        <v>8</v>
      </c>
      <c r="C9">
        <v>92323</v>
      </c>
      <c r="D9">
        <v>5</v>
      </c>
      <c r="F9">
        <f t="shared" si="0"/>
        <v>18.464600000000001</v>
      </c>
    </row>
    <row r="10" spans="1:6" x14ac:dyDescent="0.25">
      <c r="A10" s="1">
        <v>7.2257754629629625E-3</v>
      </c>
      <c r="B10">
        <v>9</v>
      </c>
      <c r="C10">
        <v>76649</v>
      </c>
      <c r="D10">
        <v>6</v>
      </c>
      <c r="F10">
        <f t="shared" si="0"/>
        <v>12.774833333333333</v>
      </c>
    </row>
    <row r="11" spans="1:6" x14ac:dyDescent="0.25">
      <c r="A11" s="1">
        <v>8.2150925925925915E-3</v>
      </c>
      <c r="B11">
        <v>10</v>
      </c>
      <c r="C11">
        <v>84856</v>
      </c>
      <c r="D11">
        <v>5</v>
      </c>
      <c r="F11">
        <f t="shared" si="0"/>
        <v>16.9712</v>
      </c>
    </row>
    <row r="12" spans="1:6" x14ac:dyDescent="0.25">
      <c r="A12" s="1">
        <v>9.8196527777777778E-3</v>
      </c>
      <c r="B12">
        <v>11</v>
      </c>
      <c r="C12">
        <v>138009</v>
      </c>
      <c r="D12">
        <v>5</v>
      </c>
      <c r="F12">
        <f t="shared" si="0"/>
        <v>27.601800000000001</v>
      </c>
    </row>
    <row r="13" spans="1:6" x14ac:dyDescent="0.25">
      <c r="A13" s="1">
        <v>1.1238784722222221E-2</v>
      </c>
      <c r="B13">
        <v>12</v>
      </c>
      <c r="C13">
        <v>121922</v>
      </c>
      <c r="D13">
        <v>5</v>
      </c>
      <c r="F13">
        <f t="shared" si="0"/>
        <v>24.384399999999999</v>
      </c>
    </row>
    <row r="14" spans="1:6" x14ac:dyDescent="0.25">
      <c r="A14" s="1">
        <v>1.2514826388888891E-2</v>
      </c>
      <c r="B14">
        <v>13</v>
      </c>
      <c r="C14">
        <v>106719</v>
      </c>
      <c r="D14">
        <v>6</v>
      </c>
      <c r="F14">
        <f t="shared" si="0"/>
        <v>17.7865</v>
      </c>
    </row>
    <row r="17" spans="2:6" x14ac:dyDescent="0.25">
      <c r="C17">
        <f t="array" ref="C17">AVERAGE(IF(ISNUMBER(C2:C14),C2:C14))</f>
        <v>81796.076923076922</v>
      </c>
      <c r="F17">
        <f t="array" ref="F17">AVERAGE(IF(ISNUMBER(F2:F14),F2:F14))</f>
        <v>15.61566923076923</v>
      </c>
    </row>
    <row r="18" spans="2:6" x14ac:dyDescent="0.25">
      <c r="C18">
        <f>C17/1000</f>
        <v>81.796076923076924</v>
      </c>
    </row>
    <row r="19" spans="2:6" x14ac:dyDescent="0.25">
      <c r="B19">
        <f>MAX(B2:B14)</f>
        <v>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workbookViewId="0">
      <selection activeCell="B21" sqref="B21"/>
    </sheetView>
  </sheetViews>
  <sheetFormatPr defaultRowHeight="15" x14ac:dyDescent="0.25"/>
  <cols>
    <col min="1" max="1" width="7.140625" bestFit="1" customWidth="1"/>
    <col min="2" max="2" width="8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3.4094907407407408E-4</v>
      </c>
      <c r="B2">
        <v>1</v>
      </c>
      <c r="C2">
        <v>29455</v>
      </c>
      <c r="D2">
        <v>7</v>
      </c>
      <c r="F2">
        <f t="shared" ref="F2:F14" si="0">C2/(D2*1000)</f>
        <v>4.2078571428571427</v>
      </c>
    </row>
    <row r="3" spans="1:6" x14ac:dyDescent="0.25">
      <c r="A3" s="1">
        <v>8.6377314814814813E-4</v>
      </c>
      <c r="B3">
        <v>2</v>
      </c>
      <c r="C3">
        <v>39564</v>
      </c>
      <c r="D3">
        <v>18</v>
      </c>
      <c r="F3">
        <f t="shared" si="0"/>
        <v>2.198</v>
      </c>
    </row>
    <row r="4" spans="1:6" x14ac:dyDescent="0.25">
      <c r="A4" s="1">
        <v>1.7126041666666667E-3</v>
      </c>
      <c r="B4">
        <v>3</v>
      </c>
      <c r="C4">
        <v>72707</v>
      </c>
      <c r="D4">
        <v>24</v>
      </c>
      <c r="F4">
        <f t="shared" si="0"/>
        <v>3.0294583333333334</v>
      </c>
    </row>
    <row r="5" spans="1:6" x14ac:dyDescent="0.25">
      <c r="F5" t="e">
        <f t="shared" si="0"/>
        <v>#DIV/0!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3" spans="1:6" x14ac:dyDescent="0.25">
      <c r="F13" t="e">
        <f t="shared" si="0"/>
        <v>#DIV/0!</v>
      </c>
    </row>
    <row r="14" spans="1:6" x14ac:dyDescent="0.25">
      <c r="F14" t="e">
        <f t="shared" si="0"/>
        <v>#DIV/0!</v>
      </c>
    </row>
    <row r="17" spans="2:6" x14ac:dyDescent="0.25">
      <c r="C17">
        <f t="array" ref="C17">AVERAGE(IF(ISNUMBER(C2:C14),C2:C14))</f>
        <v>47242</v>
      </c>
      <c r="F17">
        <f t="array" ref="F17">AVERAGE(IF(ISNUMBER(F2:F14),F2:F14))</f>
        <v>3.1451051587301584</v>
      </c>
    </row>
    <row r="18" spans="2:6" x14ac:dyDescent="0.25">
      <c r="C18">
        <f>C17/1000</f>
        <v>47.241999999999997</v>
      </c>
    </row>
    <row r="19" spans="2:6" x14ac:dyDescent="0.25">
      <c r="B19">
        <f>MAX(B2:B14)</f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workbookViewId="0">
      <selection activeCell="C18" sqref="C18"/>
    </sheetView>
  </sheetViews>
  <sheetFormatPr defaultRowHeight="15" x14ac:dyDescent="0.25"/>
  <cols>
    <col min="1" max="1" width="7.140625" bestFit="1" customWidth="1"/>
    <col min="2" max="2" width="8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2.7530092592592596E-4</v>
      </c>
      <c r="B2">
        <v>1</v>
      </c>
      <c r="C2">
        <v>23782</v>
      </c>
      <c r="D2">
        <v>3</v>
      </c>
      <c r="F2">
        <f t="shared" ref="F2:F14" si="0">C2/(D2*1000)</f>
        <v>7.9273333333333333</v>
      </c>
    </row>
    <row r="3" spans="1:6" x14ac:dyDescent="0.25">
      <c r="A3" s="1">
        <v>1.2768518518518517E-3</v>
      </c>
      <c r="B3">
        <v>2</v>
      </c>
      <c r="C3">
        <v>85430</v>
      </c>
      <c r="D3">
        <v>18</v>
      </c>
      <c r="F3">
        <f t="shared" si="0"/>
        <v>4.7461111111111114</v>
      </c>
    </row>
    <row r="4" spans="1:6" x14ac:dyDescent="0.25">
      <c r="A4" s="1">
        <v>1.4989120370370371E-3</v>
      </c>
      <c r="B4">
        <v>3</v>
      </c>
      <c r="C4">
        <v>17997</v>
      </c>
      <c r="D4">
        <v>2</v>
      </c>
      <c r="F4">
        <f t="shared" si="0"/>
        <v>8.9984999999999999</v>
      </c>
    </row>
    <row r="5" spans="1:6" x14ac:dyDescent="0.25">
      <c r="A5" s="1">
        <v>3.3762152777777779E-3</v>
      </c>
      <c r="B5">
        <v>4</v>
      </c>
      <c r="C5">
        <v>161307</v>
      </c>
      <c r="D5">
        <v>28</v>
      </c>
      <c r="F5">
        <f t="shared" si="0"/>
        <v>5.7609642857142855</v>
      </c>
    </row>
    <row r="6" spans="1:6" x14ac:dyDescent="0.25">
      <c r="A6" s="1">
        <v>4.3639930555555559E-3</v>
      </c>
      <c r="B6">
        <v>5</v>
      </c>
      <c r="C6">
        <v>84553</v>
      </c>
      <c r="D6">
        <v>21</v>
      </c>
      <c r="F6">
        <f t="shared" si="0"/>
        <v>4.0263333333333335</v>
      </c>
    </row>
    <row r="7" spans="1:6" x14ac:dyDescent="0.25">
      <c r="A7" s="1">
        <v>4.9138194444444446E-3</v>
      </c>
      <c r="B7">
        <v>6</v>
      </c>
      <c r="C7">
        <v>46416</v>
      </c>
      <c r="D7">
        <v>14</v>
      </c>
      <c r="F7">
        <f t="shared" si="0"/>
        <v>3.3154285714285714</v>
      </c>
    </row>
    <row r="8" spans="1:6" x14ac:dyDescent="0.25">
      <c r="A8" s="1">
        <v>5.2203125000000001E-3</v>
      </c>
      <c r="B8">
        <v>7</v>
      </c>
      <c r="C8">
        <v>25636</v>
      </c>
      <c r="D8">
        <v>7</v>
      </c>
      <c r="F8">
        <f t="shared" si="0"/>
        <v>3.6622857142857144</v>
      </c>
    </row>
    <row r="9" spans="1:6" x14ac:dyDescent="0.25">
      <c r="A9" s="1">
        <v>5.566956018518518E-3</v>
      </c>
      <c r="B9">
        <v>8</v>
      </c>
      <c r="C9">
        <v>26371</v>
      </c>
      <c r="D9">
        <v>7</v>
      </c>
      <c r="F9">
        <f t="shared" si="0"/>
        <v>3.7672857142857143</v>
      </c>
    </row>
    <row r="10" spans="1:6" x14ac:dyDescent="0.25">
      <c r="A10" s="1">
        <v>6.2991203703703707E-3</v>
      </c>
      <c r="B10">
        <v>9</v>
      </c>
      <c r="C10">
        <v>62575</v>
      </c>
      <c r="D10">
        <v>9</v>
      </c>
      <c r="F10">
        <f t="shared" si="0"/>
        <v>6.9527777777777775</v>
      </c>
    </row>
    <row r="11" spans="1:6" x14ac:dyDescent="0.25">
      <c r="A11" s="1">
        <v>7.5379861111111108E-3</v>
      </c>
      <c r="B11">
        <v>10</v>
      </c>
      <c r="C11">
        <v>106312</v>
      </c>
      <c r="D11">
        <v>24</v>
      </c>
      <c r="F11">
        <f t="shared" si="0"/>
        <v>4.4296666666666669</v>
      </c>
    </row>
    <row r="12" spans="1:6" x14ac:dyDescent="0.25">
      <c r="F12" t="e">
        <f t="shared" si="0"/>
        <v>#DIV/0!</v>
      </c>
    </row>
    <row r="13" spans="1:6" x14ac:dyDescent="0.25">
      <c r="F13" t="e">
        <f t="shared" si="0"/>
        <v>#DIV/0!</v>
      </c>
    </row>
    <row r="14" spans="1:6" x14ac:dyDescent="0.25">
      <c r="F14" t="e">
        <f t="shared" si="0"/>
        <v>#DIV/0!</v>
      </c>
    </row>
    <row r="17" spans="2:6" x14ac:dyDescent="0.25">
      <c r="C17">
        <f t="array" ref="C17">AVERAGE(IF(ISNUMBER(C2:C14),C2:C14))</f>
        <v>64037.9</v>
      </c>
      <c r="F17">
        <f t="array" ref="F17">AVERAGE(IF(ISNUMBER(F2:F14),F2:F14))</f>
        <v>5.3586686507936507</v>
      </c>
    </row>
    <row r="18" spans="2:6" x14ac:dyDescent="0.25">
      <c r="C18">
        <f>C17/1000</f>
        <v>64.037900000000008</v>
      </c>
    </row>
    <row r="19" spans="2:6" x14ac:dyDescent="0.25">
      <c r="B19">
        <f>MAX(B2:B14)</f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workbookViewId="0">
      <selection activeCell="B21" sqref="B21"/>
    </sheetView>
  </sheetViews>
  <sheetFormatPr defaultRowHeight="15" x14ac:dyDescent="0.25"/>
  <cols>
    <col min="1" max="1" width="6" bestFit="1" customWidth="1"/>
    <col min="2" max="2" width="8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>
        <v>3.802</v>
      </c>
      <c r="B2">
        <v>1</v>
      </c>
      <c r="C2">
        <v>3799</v>
      </c>
      <c r="D2">
        <v>1</v>
      </c>
      <c r="F2">
        <f t="shared" ref="F2:F14" si="0">C2/(D2*1000)</f>
        <v>3.7989999999999999</v>
      </c>
    </row>
    <row r="3" spans="1:6" x14ac:dyDescent="0.25">
      <c r="F3" t="e">
        <f t="shared" si="0"/>
        <v>#DIV/0!</v>
      </c>
    </row>
    <row r="4" spans="1:6" x14ac:dyDescent="0.25">
      <c r="F4" t="e">
        <f t="shared" si="0"/>
        <v>#DIV/0!</v>
      </c>
    </row>
    <row r="5" spans="1:6" x14ac:dyDescent="0.25">
      <c r="F5" t="e">
        <f t="shared" si="0"/>
        <v>#DIV/0!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3" spans="1:6" x14ac:dyDescent="0.25">
      <c r="F13" t="e">
        <f t="shared" si="0"/>
        <v>#DIV/0!</v>
      </c>
    </row>
    <row r="14" spans="1:6" x14ac:dyDescent="0.25">
      <c r="F14" t="e">
        <f t="shared" si="0"/>
        <v>#DIV/0!</v>
      </c>
    </row>
    <row r="17" spans="2:6" x14ac:dyDescent="0.25">
      <c r="C17">
        <f t="array" ref="C17">AVERAGE(IF(ISNUMBER(C2:C14),C2:C14))</f>
        <v>3799</v>
      </c>
      <c r="F17">
        <f t="array" ref="F17">AVERAGE(IF(ISNUMBER(F2:F14),F2:F14))</f>
        <v>3.7989999999999999</v>
      </c>
    </row>
    <row r="18" spans="2:6" x14ac:dyDescent="0.25">
      <c r="C18">
        <f>C17/1000</f>
        <v>3.7989999999999999</v>
      </c>
    </row>
    <row r="19" spans="2:6" x14ac:dyDescent="0.25">
      <c r="B19">
        <f>MAX(B2:B14)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workbookViewId="0">
      <selection activeCell="B21" sqref="B21"/>
    </sheetView>
  </sheetViews>
  <sheetFormatPr defaultRowHeight="15" x14ac:dyDescent="0.25"/>
  <cols>
    <col min="1" max="1" width="7.140625" bestFit="1" customWidth="1"/>
    <col min="2" max="2" width="8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1.0864583333333333E-4</v>
      </c>
      <c r="B2">
        <v>1</v>
      </c>
      <c r="C2">
        <v>9386</v>
      </c>
      <c r="D2">
        <v>3</v>
      </c>
      <c r="F2">
        <f t="shared" ref="F2:F14" si="0">C2/(D2*1000)</f>
        <v>3.1286666666666667</v>
      </c>
    </row>
    <row r="3" spans="1:6" x14ac:dyDescent="0.25">
      <c r="A3" s="1">
        <v>2.2115740740740741E-4</v>
      </c>
      <c r="B3">
        <v>2</v>
      </c>
      <c r="C3">
        <v>7537</v>
      </c>
      <c r="D3">
        <v>2</v>
      </c>
      <c r="F3">
        <f t="shared" si="0"/>
        <v>3.7685</v>
      </c>
    </row>
    <row r="4" spans="1:6" x14ac:dyDescent="0.25">
      <c r="A4" s="1">
        <v>4.9374999999999994E-4</v>
      </c>
      <c r="B4">
        <v>3</v>
      </c>
      <c r="C4">
        <v>22736</v>
      </c>
      <c r="D4">
        <v>4</v>
      </c>
      <c r="F4">
        <f t="shared" si="0"/>
        <v>5.6840000000000002</v>
      </c>
    </row>
    <row r="5" spans="1:6" x14ac:dyDescent="0.25">
      <c r="A5" s="1">
        <v>2.2930671296296297E-3</v>
      </c>
      <c r="B5">
        <v>4</v>
      </c>
      <c r="C5">
        <v>154389</v>
      </c>
      <c r="D5">
        <v>8</v>
      </c>
      <c r="F5">
        <f t="shared" si="0"/>
        <v>19.298625000000001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3" spans="1:6" x14ac:dyDescent="0.25">
      <c r="F13" t="e">
        <f t="shared" si="0"/>
        <v>#DIV/0!</v>
      </c>
    </row>
    <row r="14" spans="1:6" x14ac:dyDescent="0.25">
      <c r="F14" t="e">
        <f t="shared" si="0"/>
        <v>#DIV/0!</v>
      </c>
    </row>
    <row r="17" spans="2:6" x14ac:dyDescent="0.25">
      <c r="C17">
        <f t="array" ref="C17">AVERAGE(IF(ISNUMBER(C2:C14),C2:C14))</f>
        <v>48512</v>
      </c>
      <c r="F17">
        <f t="array" ref="F17">AVERAGE(IF(ISNUMBER(F2:F14),F2:F14))</f>
        <v>7.9699479166666674</v>
      </c>
    </row>
    <row r="18" spans="2:6" x14ac:dyDescent="0.25">
      <c r="C18">
        <f>C17/1000</f>
        <v>48.512</v>
      </c>
    </row>
    <row r="19" spans="2:6" x14ac:dyDescent="0.25">
      <c r="B19">
        <f>MAX(B2:B14)</f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workbookViewId="0">
      <selection activeCell="B21" sqref="B21"/>
    </sheetView>
  </sheetViews>
  <sheetFormatPr defaultRowHeight="15" x14ac:dyDescent="0.25"/>
  <cols>
    <col min="1" max="1" width="7.140625" bestFit="1" customWidth="1"/>
    <col min="2" max="2" width="8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2.1173611111111111E-4</v>
      </c>
      <c r="B2">
        <v>1</v>
      </c>
      <c r="C2">
        <v>18290</v>
      </c>
      <c r="D2">
        <v>7</v>
      </c>
      <c r="F2">
        <f t="shared" ref="F2:F14" si="0">C2/(D2*1000)</f>
        <v>2.612857142857143</v>
      </c>
    </row>
    <row r="3" spans="1:6" x14ac:dyDescent="0.25">
      <c r="A3" s="1">
        <v>3.7719907407407407E-4</v>
      </c>
      <c r="B3">
        <v>2</v>
      </c>
      <c r="C3">
        <v>13064</v>
      </c>
      <c r="D3">
        <v>4</v>
      </c>
      <c r="F3">
        <f t="shared" si="0"/>
        <v>3.266</v>
      </c>
    </row>
    <row r="4" spans="1:6" x14ac:dyDescent="0.25">
      <c r="A4" s="1">
        <v>6.4913194444444447E-4</v>
      </c>
      <c r="B4">
        <v>3</v>
      </c>
      <c r="C4">
        <v>22287</v>
      </c>
      <c r="D4">
        <v>7</v>
      </c>
      <c r="F4">
        <f t="shared" si="0"/>
        <v>3.1838571428571427</v>
      </c>
    </row>
    <row r="5" spans="1:6" x14ac:dyDescent="0.25">
      <c r="A5" s="1">
        <v>1.1633564814814816E-3</v>
      </c>
      <c r="B5">
        <v>4</v>
      </c>
      <c r="C5">
        <v>43260</v>
      </c>
      <c r="D5">
        <v>24</v>
      </c>
      <c r="F5">
        <f t="shared" si="0"/>
        <v>1.8025</v>
      </c>
    </row>
    <row r="6" spans="1:6" x14ac:dyDescent="0.25">
      <c r="A6" s="1">
        <v>1.7154745370370371E-3</v>
      </c>
      <c r="B6">
        <v>5</v>
      </c>
      <c r="C6">
        <v>46847</v>
      </c>
      <c r="D6">
        <v>6</v>
      </c>
      <c r="F6">
        <f t="shared" si="0"/>
        <v>7.807833333333333</v>
      </c>
    </row>
    <row r="7" spans="1:6" x14ac:dyDescent="0.25">
      <c r="A7" s="1">
        <v>2.2766435185185186E-3</v>
      </c>
      <c r="B7">
        <v>6</v>
      </c>
      <c r="C7">
        <v>47637</v>
      </c>
      <c r="D7">
        <v>13</v>
      </c>
      <c r="F7">
        <f t="shared" si="0"/>
        <v>3.6643846153846154</v>
      </c>
    </row>
    <row r="8" spans="1:6" x14ac:dyDescent="0.25">
      <c r="A8" s="1">
        <v>3.3421527777777772E-3</v>
      </c>
      <c r="B8">
        <v>7</v>
      </c>
      <c r="C8">
        <v>90603</v>
      </c>
      <c r="D8">
        <v>27</v>
      </c>
      <c r="F8">
        <f t="shared" si="0"/>
        <v>3.3556666666666666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3" spans="1:6" x14ac:dyDescent="0.25">
      <c r="F13" t="e">
        <f t="shared" si="0"/>
        <v>#DIV/0!</v>
      </c>
    </row>
    <row r="14" spans="1:6" x14ac:dyDescent="0.25">
      <c r="F14" t="e">
        <f t="shared" si="0"/>
        <v>#DIV/0!</v>
      </c>
    </row>
    <row r="17" spans="2:6" x14ac:dyDescent="0.25">
      <c r="C17">
        <f t="array" ref="C17">AVERAGE(IF(ISNUMBER(C2:C14),C2:C14))</f>
        <v>40284</v>
      </c>
      <c r="F17">
        <f t="array" ref="F17">AVERAGE(IF(ISNUMBER(F2:F14),F2:F14))</f>
        <v>3.6704427001569861</v>
      </c>
    </row>
    <row r="18" spans="2:6" x14ac:dyDescent="0.25">
      <c r="C18">
        <f>C17/1000</f>
        <v>40.283999999999999</v>
      </c>
    </row>
    <row r="19" spans="2:6" x14ac:dyDescent="0.25">
      <c r="B19">
        <f>MAX(B2:B14)</f>
        <v>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workbookViewId="0">
      <selection activeCell="B21" sqref="B21"/>
    </sheetView>
  </sheetViews>
  <sheetFormatPr defaultRowHeight="15" x14ac:dyDescent="0.25"/>
  <cols>
    <col min="1" max="1" width="7.140625" bestFit="1" customWidth="1"/>
    <col min="2" max="2" width="8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2.1173611111111111E-4</v>
      </c>
      <c r="B2">
        <v>1</v>
      </c>
      <c r="C2">
        <v>18290</v>
      </c>
      <c r="D2">
        <v>7</v>
      </c>
      <c r="F2">
        <f t="shared" ref="F2:F14" si="0">C2/(D2*1000)</f>
        <v>2.612857142857143</v>
      </c>
    </row>
    <row r="3" spans="1:6" x14ac:dyDescent="0.25">
      <c r="A3" s="1">
        <v>3.7719907407407407E-4</v>
      </c>
      <c r="B3">
        <v>2</v>
      </c>
      <c r="C3">
        <v>13064</v>
      </c>
      <c r="D3">
        <v>4</v>
      </c>
      <c r="F3">
        <f t="shared" si="0"/>
        <v>3.266</v>
      </c>
    </row>
    <row r="4" spans="1:6" x14ac:dyDescent="0.25">
      <c r="A4" s="1">
        <v>6.4913194444444447E-4</v>
      </c>
      <c r="B4">
        <v>3</v>
      </c>
      <c r="C4">
        <v>22287</v>
      </c>
      <c r="D4">
        <v>7</v>
      </c>
      <c r="F4">
        <f t="shared" si="0"/>
        <v>3.1838571428571427</v>
      </c>
    </row>
    <row r="5" spans="1:6" x14ac:dyDescent="0.25">
      <c r="A5" s="1">
        <v>1.1633564814814816E-3</v>
      </c>
      <c r="B5">
        <v>4</v>
      </c>
      <c r="C5">
        <v>43260</v>
      </c>
      <c r="D5">
        <v>24</v>
      </c>
      <c r="F5">
        <f t="shared" si="0"/>
        <v>1.8025</v>
      </c>
    </row>
    <row r="6" spans="1:6" x14ac:dyDescent="0.25">
      <c r="A6" s="1">
        <v>1.7154745370370371E-3</v>
      </c>
      <c r="B6">
        <v>5</v>
      </c>
      <c r="C6">
        <v>46847</v>
      </c>
      <c r="D6">
        <v>6</v>
      </c>
      <c r="F6">
        <f t="shared" si="0"/>
        <v>7.807833333333333</v>
      </c>
    </row>
    <row r="7" spans="1:6" x14ac:dyDescent="0.25">
      <c r="A7" s="1">
        <v>2.2766435185185186E-3</v>
      </c>
      <c r="B7">
        <v>6</v>
      </c>
      <c r="C7">
        <v>47637</v>
      </c>
      <c r="D7">
        <v>13</v>
      </c>
      <c r="F7">
        <f t="shared" si="0"/>
        <v>3.6643846153846154</v>
      </c>
    </row>
    <row r="8" spans="1:6" x14ac:dyDescent="0.25">
      <c r="A8" s="1">
        <v>3.3421527777777772E-3</v>
      </c>
      <c r="B8">
        <v>7</v>
      </c>
      <c r="C8">
        <v>90603</v>
      </c>
      <c r="D8">
        <v>27</v>
      </c>
      <c r="F8">
        <f t="shared" si="0"/>
        <v>3.3556666666666666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3" spans="1:6" x14ac:dyDescent="0.25">
      <c r="F13" t="e">
        <f t="shared" si="0"/>
        <v>#DIV/0!</v>
      </c>
    </row>
    <row r="14" spans="1:6" x14ac:dyDescent="0.25">
      <c r="F14" t="e">
        <f t="shared" si="0"/>
        <v>#DIV/0!</v>
      </c>
    </row>
    <row r="17" spans="2:6" x14ac:dyDescent="0.25">
      <c r="C17">
        <f t="array" ref="C17">AVERAGE(IF(ISNUMBER(C2:C14),C2:C14))</f>
        <v>40284</v>
      </c>
      <c r="F17">
        <f t="array" ref="F17">AVERAGE(IF(ISNUMBER(F2:F14),F2:F14))</f>
        <v>3.6704427001569861</v>
      </c>
    </row>
    <row r="18" spans="2:6" x14ac:dyDescent="0.25">
      <c r="C18">
        <f>C17/1000</f>
        <v>40.283999999999999</v>
      </c>
    </row>
    <row r="19" spans="2:6" x14ac:dyDescent="0.25">
      <c r="B19">
        <f>MAX(B2:B14)</f>
        <v>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workbookViewId="0">
      <selection activeCell="B21" sqref="B21"/>
    </sheetView>
  </sheetViews>
  <sheetFormatPr defaultRowHeight="15" x14ac:dyDescent="0.25"/>
  <cols>
    <col min="1" max="1" width="7.140625" bestFit="1" customWidth="1"/>
    <col min="2" max="2" width="8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9.7900462962962958E-4</v>
      </c>
      <c r="B2">
        <v>1</v>
      </c>
      <c r="C2">
        <v>84583</v>
      </c>
      <c r="D2">
        <v>10</v>
      </c>
      <c r="F2">
        <f t="shared" ref="F2:F14" si="0">C2/(D2*1000)</f>
        <v>8.4582999999999995</v>
      </c>
    </row>
    <row r="3" spans="1:6" x14ac:dyDescent="0.25">
      <c r="A3" s="1">
        <v>2.2581828703703705E-3</v>
      </c>
      <c r="B3">
        <v>2</v>
      </c>
      <c r="C3">
        <v>71640</v>
      </c>
      <c r="D3">
        <v>8</v>
      </c>
      <c r="F3">
        <f t="shared" si="0"/>
        <v>8.9550000000000001</v>
      </c>
    </row>
    <row r="4" spans="1:6" x14ac:dyDescent="0.25">
      <c r="F4" t="e">
        <f t="shared" si="0"/>
        <v>#DIV/0!</v>
      </c>
    </row>
    <row r="5" spans="1:6" x14ac:dyDescent="0.25">
      <c r="F5" t="e">
        <f t="shared" si="0"/>
        <v>#DIV/0!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3" spans="1:6" x14ac:dyDescent="0.25">
      <c r="F13" t="e">
        <f t="shared" si="0"/>
        <v>#DIV/0!</v>
      </c>
    </row>
    <row r="14" spans="1:6" x14ac:dyDescent="0.25">
      <c r="F14" t="e">
        <f t="shared" si="0"/>
        <v>#DIV/0!</v>
      </c>
    </row>
    <row r="17" spans="2:6" x14ac:dyDescent="0.25">
      <c r="C17">
        <f t="array" ref="C17">AVERAGE(IF(ISNUMBER(C2:C14),C2:C14))</f>
        <v>78111.5</v>
      </c>
      <c r="F17">
        <f t="array" ref="F17">AVERAGE(IF(ISNUMBER(F2:F14),F2:F14))</f>
        <v>8.7066499999999998</v>
      </c>
    </row>
    <row r="18" spans="2:6" x14ac:dyDescent="0.25">
      <c r="C18">
        <f>C17/1000</f>
        <v>78.111500000000007</v>
      </c>
    </row>
    <row r="19" spans="2:6" x14ac:dyDescent="0.25">
      <c r="B19">
        <f>MAX(B2:B14)</f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workbookViewId="0">
      <selection activeCell="B21" sqref="B21"/>
    </sheetView>
  </sheetViews>
  <sheetFormatPr defaultRowHeight="15" x14ac:dyDescent="0.25"/>
  <cols>
    <col min="1" max="1" width="7.140625" bestFit="1" customWidth="1"/>
    <col min="2" max="2" width="8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4.1701388888888891E-5</v>
      </c>
      <c r="B2">
        <v>1</v>
      </c>
      <c r="C2">
        <v>3601</v>
      </c>
      <c r="D2">
        <v>1</v>
      </c>
      <c r="F2">
        <f t="shared" ref="F2:F14" si="0">C2/(D2*1000)</f>
        <v>3.601</v>
      </c>
    </row>
    <row r="3" spans="1:6" x14ac:dyDescent="0.25">
      <c r="A3" s="1">
        <v>4.649421296296296E-4</v>
      </c>
      <c r="B3">
        <v>2</v>
      </c>
      <c r="C3">
        <v>35280</v>
      </c>
      <c r="D3">
        <v>9</v>
      </c>
      <c r="F3">
        <f t="shared" si="0"/>
        <v>3.92</v>
      </c>
    </row>
    <row r="4" spans="1:6" x14ac:dyDescent="0.25">
      <c r="A4" s="1">
        <v>2.4424537037037036E-3</v>
      </c>
      <c r="B4">
        <v>3</v>
      </c>
      <c r="C4">
        <v>170226</v>
      </c>
      <c r="D4">
        <v>18</v>
      </c>
      <c r="F4">
        <f t="shared" si="0"/>
        <v>9.4570000000000007</v>
      </c>
    </row>
    <row r="5" spans="1:6" x14ac:dyDescent="0.25">
      <c r="A5" s="1">
        <v>3.3304398148148152E-3</v>
      </c>
      <c r="B5">
        <v>4</v>
      </c>
      <c r="C5">
        <v>75658</v>
      </c>
      <c r="D5">
        <v>9</v>
      </c>
      <c r="F5">
        <f t="shared" si="0"/>
        <v>8.4064444444444444</v>
      </c>
    </row>
    <row r="6" spans="1:6" x14ac:dyDescent="0.25">
      <c r="A6" s="1">
        <v>4.1813194444444441E-3</v>
      </c>
      <c r="B6">
        <v>5</v>
      </c>
      <c r="C6">
        <v>72907</v>
      </c>
      <c r="D6">
        <v>24</v>
      </c>
      <c r="F6">
        <f t="shared" si="0"/>
        <v>3.0377916666666667</v>
      </c>
    </row>
    <row r="7" spans="1:6" x14ac:dyDescent="0.25">
      <c r="A7" s="1">
        <v>5.5211805555555561E-3</v>
      </c>
      <c r="B7">
        <v>6</v>
      </c>
      <c r="C7">
        <v>115027</v>
      </c>
      <c r="D7">
        <v>10</v>
      </c>
      <c r="F7">
        <f t="shared" si="0"/>
        <v>11.502700000000001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3" spans="1:6" x14ac:dyDescent="0.25">
      <c r="F13" t="e">
        <f t="shared" si="0"/>
        <v>#DIV/0!</v>
      </c>
    </row>
    <row r="14" spans="1:6" x14ac:dyDescent="0.25">
      <c r="F14" t="e">
        <f t="shared" si="0"/>
        <v>#DIV/0!</v>
      </c>
    </row>
    <row r="17" spans="2:6" x14ac:dyDescent="0.25">
      <c r="C17">
        <f t="array" ref="C17">AVERAGE(IF(ISNUMBER(C2:C14),C2:C14))</f>
        <v>78783.166666666672</v>
      </c>
      <c r="F17">
        <f t="array" ref="F17">AVERAGE(IF(ISNUMBER(F2:F14),F2:F14))</f>
        <v>6.6541560185185196</v>
      </c>
    </row>
    <row r="18" spans="2:6" x14ac:dyDescent="0.25">
      <c r="C18">
        <f>C17/1000</f>
        <v>78.783166666666673</v>
      </c>
    </row>
    <row r="19" spans="2:6" x14ac:dyDescent="0.25">
      <c r="B19">
        <f>MAX(B2:B14)</f>
        <v>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workbookViewId="0">
      <selection activeCell="B21" sqref="B21"/>
    </sheetView>
  </sheetViews>
  <sheetFormatPr defaultRowHeight="15" x14ac:dyDescent="0.25"/>
  <cols>
    <col min="1" max="1" width="7.140625" bestFit="1" customWidth="1"/>
    <col min="2" max="2" width="8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4.7462962962962959E-4</v>
      </c>
      <c r="B2">
        <v>1</v>
      </c>
      <c r="C2">
        <v>41006</v>
      </c>
      <c r="D2">
        <v>7</v>
      </c>
      <c r="F2">
        <f t="shared" ref="F2:F14" si="0">C2/(D2*1000)</f>
        <v>5.8579999999999997</v>
      </c>
    </row>
    <row r="3" spans="1:6" x14ac:dyDescent="0.25">
      <c r="A3" s="1">
        <v>1.4921296296296297E-3</v>
      </c>
      <c r="B3">
        <v>2</v>
      </c>
      <c r="C3">
        <v>80211</v>
      </c>
      <c r="D3">
        <v>9</v>
      </c>
      <c r="F3">
        <f t="shared" si="0"/>
        <v>8.9123333333333328</v>
      </c>
    </row>
    <row r="4" spans="1:6" x14ac:dyDescent="0.25">
      <c r="F4" t="e">
        <f t="shared" si="0"/>
        <v>#DIV/0!</v>
      </c>
    </row>
    <row r="5" spans="1:6" x14ac:dyDescent="0.25">
      <c r="F5" t="e">
        <f t="shared" si="0"/>
        <v>#DIV/0!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3" spans="1:6" x14ac:dyDescent="0.25">
      <c r="F13" t="e">
        <f t="shared" si="0"/>
        <v>#DIV/0!</v>
      </c>
    </row>
    <row r="14" spans="1:6" x14ac:dyDescent="0.25">
      <c r="F14" t="e">
        <f t="shared" si="0"/>
        <v>#DIV/0!</v>
      </c>
    </row>
    <row r="17" spans="2:6" x14ac:dyDescent="0.25">
      <c r="C17">
        <f t="array" ref="C17">AVERAGE(IF(ISNUMBER(C2:C14),C2:C14))</f>
        <v>60608.5</v>
      </c>
      <c r="F17">
        <f t="array" ref="F17">AVERAGE(IF(ISNUMBER(F2:F14),F2:F14))</f>
        <v>7.3851666666666667</v>
      </c>
    </row>
    <row r="18" spans="2:6" x14ac:dyDescent="0.25">
      <c r="C18">
        <f>C17/1000</f>
        <v>60.608499999999999</v>
      </c>
    </row>
    <row r="19" spans="2:6" x14ac:dyDescent="0.25">
      <c r="B19">
        <f>MAX(B2:B14)</f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workbookViewId="0">
      <selection activeCell="B21" sqref="B21"/>
    </sheetView>
  </sheetViews>
  <sheetFormatPr defaultRowHeight="15" x14ac:dyDescent="0.25"/>
  <cols>
    <col min="1" max="1" width="7.140625" bestFit="1" customWidth="1"/>
    <col min="2" max="2" width="8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1.4131944444444446E-4</v>
      </c>
      <c r="B2">
        <v>1</v>
      </c>
      <c r="C2">
        <v>12207</v>
      </c>
      <c r="D2">
        <v>3</v>
      </c>
      <c r="F2">
        <f t="shared" ref="F2:F14" si="0">C2/(D2*1000)</f>
        <v>4.069</v>
      </c>
    </row>
    <row r="3" spans="1:6" x14ac:dyDescent="0.25">
      <c r="A3" s="1">
        <v>1.1517129629629631E-3</v>
      </c>
      <c r="B3">
        <v>2</v>
      </c>
      <c r="C3">
        <v>86177</v>
      </c>
      <c r="D3">
        <v>27</v>
      </c>
      <c r="F3">
        <f t="shared" si="0"/>
        <v>3.1917407407407405</v>
      </c>
    </row>
    <row r="4" spans="1:6" x14ac:dyDescent="0.25">
      <c r="A4" s="1">
        <v>1.849363425925926E-3</v>
      </c>
      <c r="B4">
        <v>3</v>
      </c>
      <c r="C4">
        <v>59069</v>
      </c>
      <c r="D4">
        <v>10</v>
      </c>
      <c r="F4">
        <f t="shared" si="0"/>
        <v>5.9069000000000003</v>
      </c>
    </row>
    <row r="5" spans="1:6" x14ac:dyDescent="0.25">
      <c r="A5" s="1">
        <v>3.4128935185185182E-3</v>
      </c>
      <c r="B5">
        <v>4</v>
      </c>
      <c r="C5">
        <v>133961</v>
      </c>
      <c r="D5">
        <v>31</v>
      </c>
      <c r="F5">
        <f t="shared" si="0"/>
        <v>4.3213225806451616</v>
      </c>
    </row>
    <row r="6" spans="1:6" x14ac:dyDescent="0.25">
      <c r="A6" s="1">
        <v>4.067071759259259E-3</v>
      </c>
      <c r="B6">
        <v>5</v>
      </c>
      <c r="C6">
        <v>55937</v>
      </c>
      <c r="D6">
        <v>14</v>
      </c>
      <c r="F6">
        <f t="shared" si="0"/>
        <v>3.9954999999999998</v>
      </c>
    </row>
    <row r="7" spans="1:6" x14ac:dyDescent="0.25">
      <c r="A7" s="1">
        <v>4.6226388888888888E-3</v>
      </c>
      <c r="B7">
        <v>6</v>
      </c>
      <c r="C7">
        <v>47177</v>
      </c>
      <c r="D7">
        <v>17</v>
      </c>
      <c r="F7">
        <f t="shared" si="0"/>
        <v>2.7751176470588237</v>
      </c>
    </row>
    <row r="8" spans="1:6" x14ac:dyDescent="0.25">
      <c r="A8" s="1">
        <v>6.6564120370370371E-3</v>
      </c>
      <c r="B8">
        <v>7</v>
      </c>
      <c r="C8">
        <v>174611</v>
      </c>
      <c r="D8">
        <v>30</v>
      </c>
      <c r="F8">
        <f t="shared" si="0"/>
        <v>5.8203666666666667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3" spans="1:6" x14ac:dyDescent="0.25">
      <c r="F13" t="e">
        <f t="shared" si="0"/>
        <v>#DIV/0!</v>
      </c>
    </row>
    <row r="14" spans="1:6" x14ac:dyDescent="0.25">
      <c r="F14" t="e">
        <f t="shared" si="0"/>
        <v>#DIV/0!</v>
      </c>
    </row>
    <row r="17" spans="2:6" x14ac:dyDescent="0.25">
      <c r="C17">
        <f t="array" ref="C17">AVERAGE(IF(ISNUMBER(C2:C14),C2:C14))</f>
        <v>81305.571428571435</v>
      </c>
      <c r="F17">
        <f t="array" ref="F17">AVERAGE(IF(ISNUMBER(F2:F14),F2:F14))</f>
        <v>4.2971353764444853</v>
      </c>
    </row>
    <row r="18" spans="2:6" x14ac:dyDescent="0.25">
      <c r="C18">
        <f>C17/1000</f>
        <v>81.30557142857144</v>
      </c>
    </row>
    <row r="19" spans="2:6" x14ac:dyDescent="0.25">
      <c r="B19">
        <f>MAX(B2:B14)</f>
        <v>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workbookViewId="0">
      <selection activeCell="B21" sqref="B21"/>
    </sheetView>
  </sheetViews>
  <sheetFormatPr defaultRowHeight="15" x14ac:dyDescent="0.25"/>
  <cols>
    <col min="1" max="1" width="7.140625" bestFit="1" customWidth="1"/>
    <col min="2" max="2" width="8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1.353900462962963E-3</v>
      </c>
      <c r="B2">
        <v>1</v>
      </c>
      <c r="C2">
        <v>116975</v>
      </c>
      <c r="D2">
        <v>31</v>
      </c>
      <c r="F2">
        <f t="shared" ref="F2:F14" si="0">C2/(D2*1000)</f>
        <v>3.7733870967741936</v>
      </c>
    </row>
    <row r="3" spans="1:6" x14ac:dyDescent="0.25">
      <c r="A3" s="1">
        <v>1.9952083333333332E-3</v>
      </c>
      <c r="B3">
        <v>2</v>
      </c>
      <c r="C3">
        <v>53928</v>
      </c>
      <c r="D3">
        <v>16</v>
      </c>
      <c r="F3">
        <f t="shared" si="0"/>
        <v>3.3704999999999998</v>
      </c>
    </row>
    <row r="4" spans="1:6" x14ac:dyDescent="0.25">
      <c r="A4" s="1">
        <v>4.5099305555555561E-3</v>
      </c>
      <c r="B4">
        <v>3</v>
      </c>
      <c r="C4">
        <v>216160</v>
      </c>
      <c r="D4">
        <v>17</v>
      </c>
      <c r="F4">
        <f t="shared" si="0"/>
        <v>12.715294117647058</v>
      </c>
    </row>
    <row r="5" spans="1:6" x14ac:dyDescent="0.25">
      <c r="F5" t="e">
        <f t="shared" si="0"/>
        <v>#DIV/0!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3" spans="1:6" x14ac:dyDescent="0.25">
      <c r="F13" t="e">
        <f t="shared" si="0"/>
        <v>#DIV/0!</v>
      </c>
    </row>
    <row r="14" spans="1:6" x14ac:dyDescent="0.25">
      <c r="F14" t="e">
        <f t="shared" si="0"/>
        <v>#DIV/0!</v>
      </c>
    </row>
    <row r="17" spans="2:6" x14ac:dyDescent="0.25">
      <c r="C17">
        <f t="array" ref="C17">AVERAGE(IF(ISNUMBER(C2:C14),C2:C14))</f>
        <v>129021</v>
      </c>
      <c r="F17">
        <f t="array" ref="F17">AVERAGE(IF(ISNUMBER(F2:F14),F2:F14))</f>
        <v>6.6197270714737506</v>
      </c>
    </row>
    <row r="18" spans="2:6" x14ac:dyDescent="0.25">
      <c r="C18">
        <f>C17/1000</f>
        <v>129.02099999999999</v>
      </c>
    </row>
    <row r="19" spans="2:6" x14ac:dyDescent="0.25">
      <c r="B19">
        <f>MAX(B2:B14)</f>
        <v>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workbookViewId="0">
      <selection activeCell="B21" sqref="B21"/>
    </sheetView>
  </sheetViews>
  <sheetFormatPr defaultRowHeight="15" x14ac:dyDescent="0.25"/>
  <cols>
    <col min="1" max="1" width="7.140625" bestFit="1" customWidth="1"/>
    <col min="2" max="2" width="8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2.841203703703704E-4</v>
      </c>
      <c r="B2">
        <v>1</v>
      </c>
      <c r="C2">
        <v>24544</v>
      </c>
      <c r="D2">
        <v>6</v>
      </c>
      <c r="F2">
        <f t="shared" ref="F2:F14" si="0">C2/(D2*1000)</f>
        <v>4.0906666666666665</v>
      </c>
    </row>
    <row r="3" spans="1:6" x14ac:dyDescent="0.25">
      <c r="A3" s="1">
        <v>5.2475694444444434E-4</v>
      </c>
      <c r="B3">
        <v>2</v>
      </c>
      <c r="C3">
        <v>19520</v>
      </c>
      <c r="D3">
        <v>4</v>
      </c>
      <c r="F3">
        <f t="shared" si="0"/>
        <v>4.88</v>
      </c>
    </row>
    <row r="4" spans="1:6" x14ac:dyDescent="0.25">
      <c r="A4" s="1">
        <v>8.7164351851851856E-4</v>
      </c>
      <c r="B4">
        <v>3</v>
      </c>
      <c r="C4">
        <v>29547</v>
      </c>
      <c r="D4">
        <v>7</v>
      </c>
      <c r="F4">
        <f t="shared" si="0"/>
        <v>4.2210000000000001</v>
      </c>
    </row>
    <row r="5" spans="1:6" x14ac:dyDescent="0.25">
      <c r="A5" s="1">
        <v>2.0244560185185187E-3</v>
      </c>
      <c r="B5">
        <v>4</v>
      </c>
      <c r="C5">
        <v>98562</v>
      </c>
      <c r="D5">
        <v>13</v>
      </c>
      <c r="F5">
        <f t="shared" si="0"/>
        <v>7.5816923076923075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3" spans="1:6" x14ac:dyDescent="0.25">
      <c r="F13" t="e">
        <f t="shared" si="0"/>
        <v>#DIV/0!</v>
      </c>
    </row>
    <row r="14" spans="1:6" x14ac:dyDescent="0.25">
      <c r="F14" t="e">
        <f t="shared" si="0"/>
        <v>#DIV/0!</v>
      </c>
    </row>
    <row r="17" spans="2:6" x14ac:dyDescent="0.25">
      <c r="C17">
        <f t="array" ref="C17">AVERAGE(IF(ISNUMBER(C2:C14),C2:C14))</f>
        <v>43043.25</v>
      </c>
      <c r="F17">
        <f t="array" ref="F17">AVERAGE(IF(ISNUMBER(F2:F14),F2:F14))</f>
        <v>5.1933397435897435</v>
      </c>
    </row>
    <row r="18" spans="2:6" x14ac:dyDescent="0.25">
      <c r="C18">
        <f>C17/1000</f>
        <v>43.04325</v>
      </c>
    </row>
    <row r="19" spans="2:6" x14ac:dyDescent="0.25">
      <c r="B19">
        <f>MAX(B2:B14)</f>
        <v>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workbookViewId="0">
      <selection activeCell="B21" sqref="B21"/>
    </sheetView>
  </sheetViews>
  <sheetFormatPr defaultRowHeight="15" x14ac:dyDescent="0.25"/>
  <cols>
    <col min="1" max="1" width="7.140625" bestFit="1" customWidth="1"/>
    <col min="2" max="2" width="8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5.2252314814814815E-4</v>
      </c>
      <c r="B2">
        <v>1</v>
      </c>
      <c r="C2">
        <v>45144</v>
      </c>
      <c r="D2">
        <v>6</v>
      </c>
      <c r="F2">
        <f t="shared" ref="F2:F14" si="0">C2/(D2*1000)</f>
        <v>7.524</v>
      </c>
    </row>
    <row r="3" spans="1:6" x14ac:dyDescent="0.25">
      <c r="A3" s="1">
        <v>7.7969907407407415E-4</v>
      </c>
      <c r="B3">
        <v>2</v>
      </c>
      <c r="C3">
        <v>21198</v>
      </c>
      <c r="D3">
        <v>3</v>
      </c>
      <c r="F3">
        <f t="shared" si="0"/>
        <v>7.0659999999999998</v>
      </c>
    </row>
    <row r="4" spans="1:6" x14ac:dyDescent="0.25">
      <c r="A4" s="1">
        <v>1.6308564814814814E-3</v>
      </c>
      <c r="B4">
        <v>3</v>
      </c>
      <c r="C4">
        <v>72452</v>
      </c>
      <c r="D4">
        <v>9</v>
      </c>
      <c r="F4">
        <f t="shared" si="0"/>
        <v>8.0502222222222226</v>
      </c>
    </row>
    <row r="5" spans="1:6" x14ac:dyDescent="0.25">
      <c r="A5" s="1">
        <v>2.6686226851851853E-3</v>
      </c>
      <c r="B5">
        <v>4</v>
      </c>
      <c r="C5">
        <v>88625</v>
      </c>
      <c r="D5">
        <v>6</v>
      </c>
      <c r="F5">
        <f t="shared" si="0"/>
        <v>14.770833333333334</v>
      </c>
    </row>
    <row r="6" spans="1:6" x14ac:dyDescent="0.25">
      <c r="A6" s="1">
        <v>5.5719328703703703E-3</v>
      </c>
      <c r="B6">
        <v>5</v>
      </c>
      <c r="C6">
        <v>231023</v>
      </c>
      <c r="D6">
        <v>17</v>
      </c>
      <c r="F6">
        <f t="shared" si="0"/>
        <v>13.589588235294118</v>
      </c>
    </row>
    <row r="7" spans="1:6" x14ac:dyDescent="0.25">
      <c r="A7" s="1">
        <v>6.3648726851851861E-3</v>
      </c>
      <c r="B7">
        <v>6</v>
      </c>
      <c r="C7">
        <v>67649</v>
      </c>
      <c r="D7">
        <v>12</v>
      </c>
      <c r="F7">
        <f t="shared" si="0"/>
        <v>5.6374166666666667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3" spans="1:6" x14ac:dyDescent="0.25">
      <c r="F13" t="e">
        <f t="shared" si="0"/>
        <v>#DIV/0!</v>
      </c>
    </row>
    <row r="14" spans="1:6" x14ac:dyDescent="0.25">
      <c r="F14" t="e">
        <f t="shared" si="0"/>
        <v>#DIV/0!</v>
      </c>
    </row>
    <row r="17" spans="2:6" x14ac:dyDescent="0.25">
      <c r="C17">
        <f t="array" ref="C17">AVERAGE(IF(ISNUMBER(C2:C14),C2:C14))</f>
        <v>87681.833333333328</v>
      </c>
      <c r="F17">
        <f t="array" ref="F17">AVERAGE(IF(ISNUMBER(F2:F14),F2:F14))</f>
        <v>9.4396767429193904</v>
      </c>
    </row>
    <row r="18" spans="2:6" x14ac:dyDescent="0.25">
      <c r="C18">
        <f>C17/1000</f>
        <v>87.68183333333333</v>
      </c>
    </row>
    <row r="19" spans="2:6" x14ac:dyDescent="0.25">
      <c r="B19">
        <f>MAX(B2:B14)</f>
        <v>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workbookViewId="0">
      <selection activeCell="B21" sqref="B21"/>
    </sheetView>
  </sheetViews>
  <sheetFormatPr defaultRowHeight="15" x14ac:dyDescent="0.25"/>
  <cols>
    <col min="1" max="1" width="7.140625" bestFit="1" customWidth="1"/>
    <col min="2" max="2" width="8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3.9340277777777776E-5</v>
      </c>
      <c r="B2">
        <v>1</v>
      </c>
      <c r="C2">
        <v>3397</v>
      </c>
      <c r="D2">
        <v>1</v>
      </c>
      <c r="F2">
        <f t="shared" ref="F2:F14" si="0">C2/(D2*1000)</f>
        <v>3.3969999999999998</v>
      </c>
    </row>
    <row r="3" spans="1:6" x14ac:dyDescent="0.25">
      <c r="A3" s="1">
        <v>8.3966435185185186E-4</v>
      </c>
      <c r="B3">
        <v>2</v>
      </c>
      <c r="C3">
        <v>68212</v>
      </c>
      <c r="D3">
        <v>17</v>
      </c>
      <c r="F3">
        <f t="shared" si="0"/>
        <v>4.0124705882352938</v>
      </c>
    </row>
    <row r="4" spans="1:6" x14ac:dyDescent="0.25">
      <c r="A4" s="1">
        <v>1.7762731481481481E-3</v>
      </c>
      <c r="B4">
        <v>3</v>
      </c>
      <c r="C4">
        <v>79803</v>
      </c>
      <c r="D4">
        <v>14</v>
      </c>
      <c r="F4">
        <f t="shared" si="0"/>
        <v>5.7002142857142859</v>
      </c>
    </row>
    <row r="5" spans="1:6" x14ac:dyDescent="0.25">
      <c r="A5" s="1">
        <v>2.7966898148148148E-3</v>
      </c>
      <c r="B5">
        <v>4</v>
      </c>
      <c r="C5">
        <v>54867</v>
      </c>
      <c r="D5">
        <v>14</v>
      </c>
      <c r="F5">
        <f t="shared" si="0"/>
        <v>3.9190714285714288</v>
      </c>
    </row>
    <row r="6" spans="1:6" x14ac:dyDescent="0.25">
      <c r="A6" s="1">
        <v>4.1848148148148148E-3</v>
      </c>
      <c r="B6">
        <v>5</v>
      </c>
      <c r="C6">
        <v>115269</v>
      </c>
      <c r="D6">
        <v>11</v>
      </c>
      <c r="F6">
        <f t="shared" si="0"/>
        <v>10.478999999999999</v>
      </c>
    </row>
    <row r="7" spans="1:6" x14ac:dyDescent="0.25">
      <c r="A7" s="1">
        <v>4.9127199074074073E-3</v>
      </c>
      <c r="B7">
        <v>6</v>
      </c>
      <c r="C7">
        <v>61891</v>
      </c>
      <c r="D7">
        <v>9</v>
      </c>
      <c r="F7">
        <f t="shared" si="0"/>
        <v>6.8767777777777779</v>
      </c>
    </row>
    <row r="8" spans="1:6" x14ac:dyDescent="0.25">
      <c r="A8" s="1">
        <v>5.9484953703703705E-3</v>
      </c>
      <c r="B8">
        <v>7</v>
      </c>
      <c r="C8">
        <v>82899</v>
      </c>
      <c r="D8">
        <v>13</v>
      </c>
      <c r="F8">
        <f t="shared" si="0"/>
        <v>6.3768461538461541</v>
      </c>
    </row>
    <row r="9" spans="1:6" x14ac:dyDescent="0.25">
      <c r="A9" s="1">
        <v>7.0794675925925921E-3</v>
      </c>
      <c r="B9">
        <v>8</v>
      </c>
      <c r="C9">
        <v>97068</v>
      </c>
      <c r="D9">
        <v>9</v>
      </c>
      <c r="F9">
        <f t="shared" si="0"/>
        <v>10.785333333333334</v>
      </c>
    </row>
    <row r="10" spans="1:6" x14ac:dyDescent="0.25">
      <c r="A10" s="1">
        <v>8.3568402777777773E-3</v>
      </c>
      <c r="B10">
        <v>9</v>
      </c>
      <c r="C10">
        <v>103280</v>
      </c>
      <c r="D10">
        <v>6</v>
      </c>
      <c r="F10">
        <f t="shared" si="0"/>
        <v>17.213333333333335</v>
      </c>
    </row>
    <row r="11" spans="1:6" x14ac:dyDescent="0.25">
      <c r="A11" s="1">
        <v>9.878298611111112E-3</v>
      </c>
      <c r="B11">
        <v>10</v>
      </c>
      <c r="C11">
        <v>127213</v>
      </c>
      <c r="D11">
        <v>4</v>
      </c>
      <c r="F11">
        <f t="shared" si="0"/>
        <v>31.803249999999998</v>
      </c>
    </row>
    <row r="12" spans="1:6" x14ac:dyDescent="0.25">
      <c r="F12" t="e">
        <f t="shared" si="0"/>
        <v>#DIV/0!</v>
      </c>
    </row>
    <row r="13" spans="1:6" x14ac:dyDescent="0.25">
      <c r="F13" t="e">
        <f t="shared" si="0"/>
        <v>#DIV/0!</v>
      </c>
    </row>
    <row r="14" spans="1:6" x14ac:dyDescent="0.25">
      <c r="F14" t="e">
        <f t="shared" si="0"/>
        <v>#DIV/0!</v>
      </c>
    </row>
    <row r="17" spans="2:6" x14ac:dyDescent="0.25">
      <c r="C17">
        <f t="array" ref="C17">AVERAGE(IF(ISNUMBER(C2:C14),C2:C14))</f>
        <v>79389.899999999994</v>
      </c>
      <c r="F17">
        <f t="array" ref="F17">AVERAGE(IF(ISNUMBER(F2:F14),F2:F14))</f>
        <v>10.05632969008116</v>
      </c>
    </row>
    <row r="18" spans="2:6" x14ac:dyDescent="0.25">
      <c r="C18">
        <f>C17/1000</f>
        <v>79.389899999999997</v>
      </c>
    </row>
    <row r="19" spans="2:6" x14ac:dyDescent="0.25">
      <c r="B19">
        <f>MAX(B2:B14)</f>
        <v>10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workbookViewId="0">
      <selection activeCell="B21" sqref="B21"/>
    </sheetView>
  </sheetViews>
  <sheetFormatPr defaultRowHeight="15" x14ac:dyDescent="0.25"/>
  <cols>
    <col min="1" max="1" width="7" bestFit="1" customWidth="1"/>
    <col min="2" max="2" width="8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>
        <v>6.1509999999999998</v>
      </c>
      <c r="B2">
        <v>1</v>
      </c>
      <c r="C2">
        <v>6147</v>
      </c>
      <c r="D2">
        <v>1</v>
      </c>
      <c r="F2">
        <f t="shared" ref="F2:F14" si="0">C2/(D2*1000)</f>
        <v>6.1470000000000002</v>
      </c>
    </row>
    <row r="3" spans="1:6" x14ac:dyDescent="0.25">
      <c r="A3">
        <v>34.526000000000003</v>
      </c>
      <c r="B3">
        <v>2</v>
      </c>
      <c r="C3">
        <v>27159</v>
      </c>
      <c r="D3">
        <v>7</v>
      </c>
      <c r="F3">
        <f t="shared" si="0"/>
        <v>3.8798571428571429</v>
      </c>
    </row>
    <row r="4" spans="1:6" x14ac:dyDescent="0.25">
      <c r="F4" t="e">
        <f t="shared" si="0"/>
        <v>#DIV/0!</v>
      </c>
    </row>
    <row r="5" spans="1:6" x14ac:dyDescent="0.25">
      <c r="F5" t="e">
        <f t="shared" si="0"/>
        <v>#DIV/0!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3" spans="1:6" x14ac:dyDescent="0.25">
      <c r="F13" t="e">
        <f t="shared" si="0"/>
        <v>#DIV/0!</v>
      </c>
    </row>
    <row r="14" spans="1:6" x14ac:dyDescent="0.25">
      <c r="F14" t="e">
        <f t="shared" si="0"/>
        <v>#DIV/0!</v>
      </c>
    </row>
    <row r="17" spans="2:6" x14ac:dyDescent="0.25">
      <c r="C17">
        <f t="array" ref="C17">AVERAGE(IF(ISNUMBER(C2:C14),C2:C14))</f>
        <v>16653</v>
      </c>
      <c r="F17">
        <f t="array" ref="F17">AVERAGE(IF(ISNUMBER(F2:F14),F2:F14))</f>
        <v>5.0134285714285713</v>
      </c>
    </row>
    <row r="18" spans="2:6" x14ac:dyDescent="0.25">
      <c r="C18">
        <f>C17/1000</f>
        <v>16.652999999999999</v>
      </c>
    </row>
    <row r="19" spans="2:6" x14ac:dyDescent="0.25">
      <c r="B19">
        <f>MAX(B2:B14)</f>
        <v>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workbookViewId="0">
      <selection activeCell="B21" sqref="B21"/>
    </sheetView>
  </sheetViews>
  <sheetFormatPr defaultRowHeight="15" x14ac:dyDescent="0.25"/>
  <cols>
    <col min="1" max="1" width="6" bestFit="1" customWidth="1"/>
    <col min="2" max="2" width="8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>
        <v>4.3280000000000003</v>
      </c>
      <c r="B2">
        <v>1</v>
      </c>
      <c r="C2">
        <v>4324</v>
      </c>
      <c r="D2">
        <v>1</v>
      </c>
      <c r="F2">
        <f t="shared" ref="F2:F14" si="0">C2/(D2*1000)</f>
        <v>4.3239999999999998</v>
      </c>
    </row>
    <row r="3" spans="1:6" x14ac:dyDescent="0.25">
      <c r="F3" t="e">
        <f t="shared" si="0"/>
        <v>#DIV/0!</v>
      </c>
    </row>
    <row r="4" spans="1:6" x14ac:dyDescent="0.25">
      <c r="F4" t="e">
        <f t="shared" si="0"/>
        <v>#DIV/0!</v>
      </c>
    </row>
    <row r="5" spans="1:6" x14ac:dyDescent="0.25">
      <c r="F5" t="e">
        <f t="shared" si="0"/>
        <v>#DIV/0!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3" spans="1:6" x14ac:dyDescent="0.25">
      <c r="F13" t="e">
        <f t="shared" si="0"/>
        <v>#DIV/0!</v>
      </c>
    </row>
    <row r="14" spans="1:6" x14ac:dyDescent="0.25">
      <c r="F14" t="e">
        <f t="shared" si="0"/>
        <v>#DIV/0!</v>
      </c>
    </row>
    <row r="17" spans="2:6" x14ac:dyDescent="0.25">
      <c r="C17">
        <f t="array" ref="C17">AVERAGE(IF(ISNUMBER(C2:C14),C2:C14))</f>
        <v>4324</v>
      </c>
      <c r="F17">
        <f t="array" ref="F17">AVERAGE(IF(ISNUMBER(F2:F14),F2:F14))</f>
        <v>4.3239999999999998</v>
      </c>
    </row>
    <row r="18" spans="2:6" x14ac:dyDescent="0.25">
      <c r="C18">
        <f>C17/1000</f>
        <v>4.3239999999999998</v>
      </c>
    </row>
    <row r="19" spans="2:6" x14ac:dyDescent="0.25">
      <c r="B19">
        <f>MAX(B2:B14)</f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workbookViewId="0">
      <selection activeCell="B21" sqref="B21"/>
    </sheetView>
  </sheetViews>
  <sheetFormatPr defaultRowHeight="15" x14ac:dyDescent="0.25"/>
  <cols>
    <col min="1" max="1" width="7" bestFit="1" customWidth="1"/>
    <col min="2" max="2" width="8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>
        <v>12.095000000000001</v>
      </c>
      <c r="B2">
        <v>1</v>
      </c>
      <c r="C2">
        <v>12090</v>
      </c>
      <c r="D2">
        <v>5</v>
      </c>
      <c r="F2">
        <f t="shared" ref="F2:F14" si="0">C2/(D2*1000)</f>
        <v>2.4180000000000001</v>
      </c>
    </row>
    <row r="3" spans="1:6" x14ac:dyDescent="0.25">
      <c r="A3">
        <v>36.088999999999999</v>
      </c>
      <c r="B3">
        <v>2</v>
      </c>
      <c r="C3">
        <v>23312</v>
      </c>
      <c r="D3">
        <v>10</v>
      </c>
      <c r="F3">
        <f t="shared" si="0"/>
        <v>2.3311999999999999</v>
      </c>
    </row>
    <row r="4" spans="1:6" x14ac:dyDescent="0.25">
      <c r="F4" t="e">
        <f t="shared" si="0"/>
        <v>#DIV/0!</v>
      </c>
    </row>
    <row r="5" spans="1:6" x14ac:dyDescent="0.25">
      <c r="F5" t="e">
        <f t="shared" si="0"/>
        <v>#DIV/0!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3" spans="1:6" x14ac:dyDescent="0.25">
      <c r="F13" t="e">
        <f t="shared" si="0"/>
        <v>#DIV/0!</v>
      </c>
    </row>
    <row r="14" spans="1:6" x14ac:dyDescent="0.25">
      <c r="F14" t="e">
        <f t="shared" si="0"/>
        <v>#DIV/0!</v>
      </c>
    </row>
    <row r="17" spans="2:6" x14ac:dyDescent="0.25">
      <c r="C17">
        <f t="array" ref="C17">AVERAGE(IF(ISNUMBER(C2:C14),C2:C14))</f>
        <v>17701</v>
      </c>
      <c r="F17">
        <f t="array" ref="F17">AVERAGE(IF(ISNUMBER(F2:F14),F2:F14))</f>
        <v>2.3746</v>
      </c>
    </row>
    <row r="18" spans="2:6" x14ac:dyDescent="0.25">
      <c r="C18">
        <f>C17/1000</f>
        <v>17.701000000000001</v>
      </c>
    </row>
    <row r="19" spans="2:6" x14ac:dyDescent="0.25">
      <c r="B19">
        <f>MAX(B2:B14)</f>
        <v>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workbookViewId="0">
      <selection activeCell="B21" sqref="B21"/>
    </sheetView>
  </sheetViews>
  <sheetFormatPr defaultRowHeight="15" x14ac:dyDescent="0.25"/>
  <cols>
    <col min="1" max="1" width="7.140625" bestFit="1" customWidth="1"/>
    <col min="2" max="2" width="8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7.8010416666666668E-4</v>
      </c>
      <c r="B2">
        <v>1</v>
      </c>
      <c r="C2">
        <v>67396</v>
      </c>
      <c r="D2">
        <v>23</v>
      </c>
      <c r="F2">
        <f t="shared" ref="F2:F14" si="0">C2/(D2*1000)</f>
        <v>2.9302608695652173</v>
      </c>
    </row>
    <row r="3" spans="1:6" x14ac:dyDescent="0.25">
      <c r="A3" s="1">
        <v>3.225289351851852E-3</v>
      </c>
      <c r="B3">
        <v>2</v>
      </c>
      <c r="C3">
        <v>209974</v>
      </c>
      <c r="D3">
        <v>62</v>
      </c>
      <c r="F3">
        <f t="shared" si="0"/>
        <v>3.3866774193548386</v>
      </c>
    </row>
    <row r="4" spans="1:6" x14ac:dyDescent="0.25">
      <c r="A4" s="1">
        <v>4.0080671296296297E-3</v>
      </c>
      <c r="B4">
        <v>3</v>
      </c>
      <c r="C4">
        <v>66767</v>
      </c>
      <c r="D4">
        <v>12</v>
      </c>
      <c r="F4">
        <f t="shared" si="0"/>
        <v>5.5639166666666666</v>
      </c>
    </row>
    <row r="5" spans="1:6" x14ac:dyDescent="0.25">
      <c r="A5" s="1">
        <v>7.2333449074074062E-3</v>
      </c>
      <c r="B5">
        <v>4</v>
      </c>
      <c r="C5">
        <v>277255</v>
      </c>
      <c r="D5">
        <v>23</v>
      </c>
      <c r="F5">
        <f t="shared" si="0"/>
        <v>12.054565217391305</v>
      </c>
    </row>
    <row r="6" spans="1:6" x14ac:dyDescent="0.25">
      <c r="A6" s="1">
        <v>8.235844907407407E-3</v>
      </c>
      <c r="B6">
        <v>5</v>
      </c>
      <c r="C6">
        <v>82391</v>
      </c>
      <c r="D6">
        <v>3</v>
      </c>
      <c r="F6">
        <f t="shared" si="0"/>
        <v>27.463666666666665</v>
      </c>
    </row>
    <row r="7" spans="1:6" x14ac:dyDescent="0.25">
      <c r="A7" s="1">
        <v>1.0475196759259259E-2</v>
      </c>
      <c r="B7">
        <v>6</v>
      </c>
      <c r="C7">
        <v>190815</v>
      </c>
      <c r="D7">
        <v>6</v>
      </c>
      <c r="F7">
        <f t="shared" si="0"/>
        <v>31.802499999999998</v>
      </c>
    </row>
    <row r="8" spans="1:6" x14ac:dyDescent="0.25">
      <c r="A8" s="1">
        <v>1.3096400462962962E-2</v>
      </c>
      <c r="B8">
        <v>7</v>
      </c>
      <c r="C8">
        <v>221590</v>
      </c>
      <c r="D8">
        <v>12</v>
      </c>
      <c r="F8">
        <f t="shared" si="0"/>
        <v>18.465833333333332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3" spans="1:6" x14ac:dyDescent="0.25">
      <c r="F13" t="e">
        <f t="shared" si="0"/>
        <v>#DIV/0!</v>
      </c>
    </row>
    <row r="14" spans="1:6" x14ac:dyDescent="0.25">
      <c r="F14" t="e">
        <f t="shared" si="0"/>
        <v>#DIV/0!</v>
      </c>
    </row>
    <row r="17" spans="2:6" x14ac:dyDescent="0.25">
      <c r="C17">
        <f t="array" ref="C17">AVERAGE(IF(ISNUMBER(C2:C14),C2:C14))</f>
        <v>159455.42857142858</v>
      </c>
      <c r="F17">
        <f t="array" ref="F17">AVERAGE(IF(ISNUMBER(F2:F14),F2:F14))</f>
        <v>14.523917167568289</v>
      </c>
    </row>
    <row r="18" spans="2:6" x14ac:dyDescent="0.25">
      <c r="C18">
        <f>C17/1000</f>
        <v>159.45542857142857</v>
      </c>
    </row>
    <row r="19" spans="2:6" x14ac:dyDescent="0.25">
      <c r="B19">
        <f>MAX(B2:B14)</f>
        <v>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workbookViewId="0">
      <selection activeCell="B21" sqref="B21"/>
    </sheetView>
  </sheetViews>
  <sheetFormatPr defaultRowHeight="15" x14ac:dyDescent="0.25"/>
  <cols>
    <col min="1" max="1" width="7" bestFit="1" customWidth="1"/>
    <col min="2" max="2" width="8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>
        <v>10.170999999999999</v>
      </c>
      <c r="B2">
        <v>1</v>
      </c>
      <c r="C2">
        <v>10167</v>
      </c>
      <c r="D2">
        <v>6</v>
      </c>
      <c r="F2">
        <f t="shared" ref="F2:F14" si="0">C2/(D2*1000)</f>
        <v>1.6944999999999999</v>
      </c>
    </row>
    <row r="3" spans="1:6" x14ac:dyDescent="0.25">
      <c r="A3">
        <v>18.302</v>
      </c>
      <c r="B3">
        <v>2</v>
      </c>
      <c r="C3">
        <v>7500</v>
      </c>
      <c r="D3">
        <v>2</v>
      </c>
      <c r="F3">
        <f t="shared" si="0"/>
        <v>3.75</v>
      </c>
    </row>
    <row r="4" spans="1:6" x14ac:dyDescent="0.25">
      <c r="A4">
        <v>25.457000000000001</v>
      </c>
      <c r="B4">
        <v>3</v>
      </c>
      <c r="C4">
        <v>6520</v>
      </c>
      <c r="D4">
        <v>2</v>
      </c>
      <c r="F4">
        <f t="shared" si="0"/>
        <v>3.26</v>
      </c>
    </row>
    <row r="5" spans="1:6" x14ac:dyDescent="0.25">
      <c r="F5" t="e">
        <f t="shared" si="0"/>
        <v>#DIV/0!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3" spans="1:6" x14ac:dyDescent="0.25">
      <c r="F13" t="e">
        <f t="shared" si="0"/>
        <v>#DIV/0!</v>
      </c>
    </row>
    <row r="14" spans="1:6" x14ac:dyDescent="0.25">
      <c r="F14" t="e">
        <f t="shared" si="0"/>
        <v>#DIV/0!</v>
      </c>
    </row>
    <row r="17" spans="2:6" x14ac:dyDescent="0.25">
      <c r="C17">
        <f t="array" ref="C17">AVERAGE(IF(ISNUMBER(C2:C14),C2:C14))</f>
        <v>8062.333333333333</v>
      </c>
      <c r="F17">
        <f t="array" ref="F17">AVERAGE(IF(ISNUMBER(F2:F14),F2:F14))</f>
        <v>2.9015</v>
      </c>
    </row>
    <row r="18" spans="2:6" x14ac:dyDescent="0.25">
      <c r="C18">
        <f>C17/1000</f>
        <v>8.0623333333333331</v>
      </c>
    </row>
    <row r="19" spans="2:6" x14ac:dyDescent="0.25">
      <c r="B19">
        <f>MAX(B2:B14)</f>
        <v>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workbookViewId="0">
      <selection activeCell="B21" sqref="B21"/>
    </sheetView>
  </sheetViews>
  <sheetFormatPr defaultRowHeight="15" x14ac:dyDescent="0.25"/>
  <cols>
    <col min="1" max="1" width="7.140625" bestFit="1" customWidth="1"/>
    <col min="2" max="2" width="8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 s="1">
        <v>2.2711805555555557E-4</v>
      </c>
      <c r="B2">
        <v>1</v>
      </c>
      <c r="C2">
        <v>19620</v>
      </c>
      <c r="D2">
        <v>4</v>
      </c>
      <c r="F2">
        <f t="shared" ref="F2:F14" si="0">C2/(D2*1000)</f>
        <v>4.9050000000000002</v>
      </c>
    </row>
    <row r="3" spans="1:6" x14ac:dyDescent="0.25">
      <c r="A3" s="1">
        <v>6.042708333333334E-4</v>
      </c>
      <c r="B3">
        <v>2</v>
      </c>
      <c r="C3">
        <v>31047</v>
      </c>
      <c r="D3">
        <v>13</v>
      </c>
      <c r="F3">
        <f t="shared" si="0"/>
        <v>2.3882307692307694</v>
      </c>
    </row>
    <row r="4" spans="1:6" x14ac:dyDescent="0.25">
      <c r="A4" s="1">
        <v>1.1732291666666666E-3</v>
      </c>
      <c r="B4">
        <v>3</v>
      </c>
      <c r="C4">
        <v>48343</v>
      </c>
      <c r="D4">
        <v>7</v>
      </c>
      <c r="F4">
        <f t="shared" si="0"/>
        <v>6.9061428571428571</v>
      </c>
    </row>
    <row r="5" spans="1:6" x14ac:dyDescent="0.25">
      <c r="A5" s="1">
        <v>2.7285300925925927E-3</v>
      </c>
      <c r="B5">
        <v>4</v>
      </c>
      <c r="C5">
        <v>133784</v>
      </c>
      <c r="D5">
        <v>21</v>
      </c>
      <c r="F5">
        <f t="shared" si="0"/>
        <v>6.3706666666666667</v>
      </c>
    </row>
    <row r="6" spans="1:6" x14ac:dyDescent="0.25">
      <c r="A6" s="1">
        <v>3.2101736111111111E-3</v>
      </c>
      <c r="B6">
        <v>5</v>
      </c>
      <c r="C6">
        <v>40526</v>
      </c>
      <c r="D6">
        <v>9</v>
      </c>
      <c r="F6">
        <f t="shared" si="0"/>
        <v>4.5028888888888892</v>
      </c>
    </row>
    <row r="7" spans="1:6" x14ac:dyDescent="0.25">
      <c r="A7" s="1">
        <v>3.8972916666666665E-3</v>
      </c>
      <c r="B7">
        <v>6</v>
      </c>
      <c r="C7">
        <v>58664</v>
      </c>
      <c r="D7">
        <v>11</v>
      </c>
      <c r="F7">
        <f t="shared" si="0"/>
        <v>5.3330909090909087</v>
      </c>
    </row>
    <row r="8" spans="1:6" x14ac:dyDescent="0.25">
      <c r="A8" s="1">
        <v>6.1487268518518523E-3</v>
      </c>
      <c r="B8">
        <v>7</v>
      </c>
      <c r="C8">
        <v>193932</v>
      </c>
      <c r="D8">
        <v>27</v>
      </c>
      <c r="F8">
        <f t="shared" si="0"/>
        <v>7.182666666666667</v>
      </c>
    </row>
    <row r="9" spans="1:6" x14ac:dyDescent="0.25">
      <c r="A9" s="1">
        <v>7.1786111111111104E-3</v>
      </c>
      <c r="B9">
        <v>8</v>
      </c>
      <c r="C9">
        <v>87947</v>
      </c>
      <c r="D9">
        <v>31</v>
      </c>
      <c r="F9">
        <f t="shared" si="0"/>
        <v>2.8370000000000002</v>
      </c>
    </row>
    <row r="10" spans="1:6" x14ac:dyDescent="0.25">
      <c r="A10" s="1">
        <v>7.9127777777777773E-3</v>
      </c>
      <c r="B10">
        <v>9</v>
      </c>
      <c r="C10">
        <v>62942</v>
      </c>
      <c r="D10">
        <v>28</v>
      </c>
      <c r="F10">
        <f t="shared" si="0"/>
        <v>2.2479285714285715</v>
      </c>
    </row>
    <row r="11" spans="1:6" x14ac:dyDescent="0.25">
      <c r="A11" s="1">
        <v>8.9085185185185187E-3</v>
      </c>
      <c r="B11">
        <v>10</v>
      </c>
      <c r="C11">
        <v>85418</v>
      </c>
      <c r="D11">
        <v>28</v>
      </c>
      <c r="F11">
        <f t="shared" si="0"/>
        <v>3.050642857142857</v>
      </c>
    </row>
    <row r="12" spans="1:6" x14ac:dyDescent="0.25">
      <c r="A12" s="1">
        <v>1.0753298611111113E-2</v>
      </c>
      <c r="B12">
        <v>11</v>
      </c>
      <c r="C12">
        <v>146711</v>
      </c>
      <c r="D12">
        <v>37</v>
      </c>
      <c r="F12">
        <f t="shared" si="0"/>
        <v>3.9651621621621622</v>
      </c>
    </row>
    <row r="13" spans="1:6" x14ac:dyDescent="0.25">
      <c r="F13" t="e">
        <f t="shared" si="0"/>
        <v>#DIV/0!</v>
      </c>
    </row>
    <row r="14" spans="1:6" x14ac:dyDescent="0.25">
      <c r="F14" t="e">
        <f t="shared" si="0"/>
        <v>#DIV/0!</v>
      </c>
    </row>
    <row r="17" spans="2:6" x14ac:dyDescent="0.25">
      <c r="C17">
        <f t="array" ref="C17">AVERAGE(IF(ISNUMBER(C2:C14),C2:C14))</f>
        <v>82630.363636363632</v>
      </c>
      <c r="F17">
        <f t="array" ref="F17">AVERAGE(IF(ISNUMBER(F2:F14),F2:F14))</f>
        <v>4.5172200316745776</v>
      </c>
    </row>
    <row r="18" spans="2:6" x14ac:dyDescent="0.25">
      <c r="C18">
        <f>C17/1000</f>
        <v>82.630363636363626</v>
      </c>
    </row>
    <row r="19" spans="2:6" x14ac:dyDescent="0.25">
      <c r="B19">
        <f>MAX(B2:B14)</f>
        <v>11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9"/>
  <sheetViews>
    <sheetView workbookViewId="0">
      <selection activeCell="F17" sqref="F17"/>
    </sheetView>
  </sheetViews>
  <sheetFormatPr defaultRowHeight="15" x14ac:dyDescent="0.25"/>
  <cols>
    <col min="1" max="1" width="7" bestFit="1" customWidth="1"/>
    <col min="2" max="2" width="8.42578125" bestFit="1" customWidth="1"/>
    <col min="3" max="3" width="9.5703125" bestFit="1" customWidth="1"/>
    <col min="4" max="4" width="6.855468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F1" t="s">
        <v>4</v>
      </c>
    </row>
    <row r="2" spans="1:6" x14ac:dyDescent="0.25">
      <c r="A2">
        <v>9.8789999999999996</v>
      </c>
      <c r="B2">
        <v>1</v>
      </c>
      <c r="C2">
        <v>9869</v>
      </c>
      <c r="D2">
        <v>4</v>
      </c>
      <c r="F2">
        <f t="shared" ref="F2:F14" si="0">C2/(D2*1000)</f>
        <v>2.4672499999999999</v>
      </c>
    </row>
    <row r="3" spans="1:6" x14ac:dyDescent="0.25">
      <c r="A3">
        <v>14.303000000000001</v>
      </c>
      <c r="B3">
        <v>2</v>
      </c>
      <c r="C3">
        <v>3844</v>
      </c>
      <c r="D3">
        <v>2</v>
      </c>
      <c r="F3">
        <f t="shared" si="0"/>
        <v>1.9219999999999999</v>
      </c>
    </row>
    <row r="4" spans="1:6" x14ac:dyDescent="0.25">
      <c r="F4" t="e">
        <f t="shared" si="0"/>
        <v>#DIV/0!</v>
      </c>
    </row>
    <row r="5" spans="1:6" x14ac:dyDescent="0.25">
      <c r="F5" t="e">
        <f t="shared" si="0"/>
        <v>#DIV/0!</v>
      </c>
    </row>
    <row r="6" spans="1:6" x14ac:dyDescent="0.25">
      <c r="F6" t="e">
        <f t="shared" si="0"/>
        <v>#DIV/0!</v>
      </c>
    </row>
    <row r="7" spans="1:6" x14ac:dyDescent="0.25">
      <c r="F7" t="e">
        <f t="shared" si="0"/>
        <v>#DIV/0!</v>
      </c>
    </row>
    <row r="8" spans="1:6" x14ac:dyDescent="0.25">
      <c r="F8" t="e">
        <f t="shared" si="0"/>
        <v>#DIV/0!</v>
      </c>
    </row>
    <row r="9" spans="1:6" x14ac:dyDescent="0.25">
      <c r="F9" t="e">
        <f t="shared" si="0"/>
        <v>#DIV/0!</v>
      </c>
    </row>
    <row r="10" spans="1:6" x14ac:dyDescent="0.25">
      <c r="F10" t="e">
        <f t="shared" si="0"/>
        <v>#DIV/0!</v>
      </c>
    </row>
    <row r="11" spans="1:6" x14ac:dyDescent="0.25">
      <c r="F11" t="e">
        <f t="shared" si="0"/>
        <v>#DIV/0!</v>
      </c>
    </row>
    <row r="12" spans="1:6" x14ac:dyDescent="0.25">
      <c r="F12" t="e">
        <f t="shared" si="0"/>
        <v>#DIV/0!</v>
      </c>
    </row>
    <row r="13" spans="1:6" x14ac:dyDescent="0.25">
      <c r="F13" t="e">
        <f t="shared" si="0"/>
        <v>#DIV/0!</v>
      </c>
    </row>
    <row r="14" spans="1:6" x14ac:dyDescent="0.25">
      <c r="F14" t="e">
        <f t="shared" si="0"/>
        <v>#DIV/0!</v>
      </c>
    </row>
    <row r="17" spans="2:6" x14ac:dyDescent="0.25">
      <c r="C17">
        <f t="array" ref="C17">AVERAGE(IF(ISNUMBER(C2:C14),C2:C14))</f>
        <v>6856.5</v>
      </c>
      <c r="F17">
        <f t="array" ref="F17">AVERAGE(IF(ISNUMBER(F2:F14),F2:F14))</f>
        <v>2.1946249999999998</v>
      </c>
    </row>
    <row r="18" spans="2:6" x14ac:dyDescent="0.25">
      <c r="C18">
        <f>C17/1000</f>
        <v>6.8564999999999996</v>
      </c>
    </row>
    <row r="19" spans="2:6" x14ac:dyDescent="0.25">
      <c r="B19">
        <f>MAX(B2:B14)</f>
        <v>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7:O68"/>
  <sheetViews>
    <sheetView tabSelected="1" topLeftCell="B28" zoomScale="110" zoomScaleNormal="110" workbookViewId="0">
      <selection activeCell="R45" sqref="R45"/>
    </sheetView>
  </sheetViews>
  <sheetFormatPr defaultRowHeight="15" x14ac:dyDescent="0.25"/>
  <sheetData>
    <row r="7" spans="1:15" x14ac:dyDescent="0.25">
      <c r="B7" t="s">
        <v>6</v>
      </c>
      <c r="E7" t="s">
        <v>9</v>
      </c>
      <c r="F7" t="s">
        <v>10</v>
      </c>
      <c r="J7" t="s">
        <v>13</v>
      </c>
      <c r="N7" t="s">
        <v>14</v>
      </c>
      <c r="O7" t="s">
        <v>15</v>
      </c>
    </row>
    <row r="8" spans="1:15" x14ac:dyDescent="0.25">
      <c r="A8" t="s">
        <v>5</v>
      </c>
      <c r="B8">
        <f>Sheet1!$B$19</f>
        <v>2</v>
      </c>
      <c r="E8">
        <v>3</v>
      </c>
      <c r="F8">
        <v>2</v>
      </c>
      <c r="J8">
        <f>Sheet1!$C$18</f>
        <v>6.8564999999999996</v>
      </c>
      <c r="N8" s="2">
        <v>60.777999999999999</v>
      </c>
      <c r="O8" s="2">
        <v>6.8564999999999996</v>
      </c>
    </row>
    <row r="9" spans="1:15" x14ac:dyDescent="0.25">
      <c r="A9" t="s">
        <v>7</v>
      </c>
      <c r="B9">
        <f>Sheet2!$B$19</f>
        <v>11</v>
      </c>
      <c r="E9">
        <v>1</v>
      </c>
      <c r="F9">
        <v>11</v>
      </c>
      <c r="J9">
        <f>Sheet2!$C$18</f>
        <v>82.630363636363626</v>
      </c>
      <c r="N9" s="2">
        <v>36.241999999999997</v>
      </c>
      <c r="O9" s="2">
        <v>82.630363636363626</v>
      </c>
    </row>
    <row r="10" spans="1:15" x14ac:dyDescent="0.25">
      <c r="A10" t="s">
        <v>8</v>
      </c>
      <c r="B10">
        <f>Sheet3!$B$19</f>
        <v>3</v>
      </c>
      <c r="E10">
        <v>9</v>
      </c>
      <c r="F10">
        <v>3</v>
      </c>
      <c r="J10">
        <f>Sheet3!$C$18</f>
        <v>8.0623333333333331</v>
      </c>
      <c r="N10" s="2">
        <v>85.38133333333333</v>
      </c>
      <c r="O10" s="2">
        <v>8.0623333333333331</v>
      </c>
    </row>
    <row r="11" spans="1:15" x14ac:dyDescent="0.25">
      <c r="B11">
        <f>Sheet4!$B$19</f>
        <v>7</v>
      </c>
      <c r="E11">
        <v>1</v>
      </c>
      <c r="F11">
        <v>7</v>
      </c>
      <c r="J11">
        <f>Sheet4!$C$18</f>
        <v>159.45542857142857</v>
      </c>
      <c r="N11" s="2">
        <v>8.2539999999999996</v>
      </c>
      <c r="O11" s="2">
        <v>159.45542857142857</v>
      </c>
    </row>
    <row r="12" spans="1:15" x14ac:dyDescent="0.25">
      <c r="B12">
        <f>Sheet5!$B$19</f>
        <v>2</v>
      </c>
      <c r="E12">
        <v>3</v>
      </c>
      <c r="F12">
        <v>2</v>
      </c>
      <c r="J12">
        <f>Sheet5!$C$18</f>
        <v>17.701000000000001</v>
      </c>
      <c r="N12" s="2">
        <v>229.51033333333334</v>
      </c>
      <c r="O12" s="2">
        <v>17.701000000000001</v>
      </c>
    </row>
    <row r="13" spans="1:15" x14ac:dyDescent="0.25">
      <c r="B13">
        <f>Sheet6!$B$19</f>
        <v>1</v>
      </c>
      <c r="E13">
        <v>1</v>
      </c>
      <c r="F13">
        <v>1</v>
      </c>
      <c r="J13">
        <f>Sheet6!$C$18</f>
        <v>4.3239999999999998</v>
      </c>
      <c r="N13" s="2">
        <v>107.435</v>
      </c>
      <c r="O13" s="2">
        <v>4.3239999999999998</v>
      </c>
    </row>
    <row r="14" spans="1:15" x14ac:dyDescent="0.25">
      <c r="B14">
        <f>Sheet7!$B$19</f>
        <v>2</v>
      </c>
      <c r="E14">
        <v>2</v>
      </c>
      <c r="F14">
        <v>2</v>
      </c>
      <c r="J14">
        <f>Sheet7!$B$19</f>
        <v>2</v>
      </c>
      <c r="N14" s="2">
        <v>47.535499999999999</v>
      </c>
      <c r="O14" s="2">
        <v>2</v>
      </c>
    </row>
    <row r="15" spans="1:15" x14ac:dyDescent="0.25">
      <c r="B15">
        <f>Sheet8!$B$19</f>
        <v>10</v>
      </c>
      <c r="E15">
        <v>11</v>
      </c>
      <c r="F15">
        <v>10</v>
      </c>
      <c r="J15">
        <f>Sheet8!$C$18</f>
        <v>79.389899999999997</v>
      </c>
      <c r="N15" s="2">
        <v>90.542727272727276</v>
      </c>
      <c r="O15" s="2">
        <v>79.389899999999997</v>
      </c>
    </row>
    <row r="16" spans="1:15" x14ac:dyDescent="0.25">
      <c r="B16">
        <f>Sheet9!$B$19</f>
        <v>6</v>
      </c>
      <c r="E16">
        <v>11</v>
      </c>
      <c r="F16">
        <v>6</v>
      </c>
      <c r="J16">
        <f>Sheet9!$C$18</f>
        <v>87.68183333333333</v>
      </c>
      <c r="N16" s="2">
        <v>79.506454545454545</v>
      </c>
      <c r="O16" s="2">
        <v>87.68183333333333</v>
      </c>
    </row>
    <row r="17" spans="2:15" x14ac:dyDescent="0.25">
      <c r="B17">
        <f>Sheet10!$B$19</f>
        <v>4</v>
      </c>
      <c r="E17">
        <v>3</v>
      </c>
      <c r="F17">
        <v>4</v>
      </c>
      <c r="J17">
        <f>Sheet10!$C$18</f>
        <v>43.04325</v>
      </c>
      <c r="N17" s="2">
        <v>34.613333333333337</v>
      </c>
      <c r="O17" s="2">
        <v>43.04325</v>
      </c>
    </row>
    <row r="18" spans="2:15" x14ac:dyDescent="0.25">
      <c r="B18">
        <f>Sheet11!$B$19</f>
        <v>3</v>
      </c>
      <c r="E18">
        <v>3</v>
      </c>
      <c r="F18">
        <v>3</v>
      </c>
      <c r="J18">
        <f>Sheet11!$C$18</f>
        <v>129.02099999999999</v>
      </c>
      <c r="N18" s="2">
        <v>47.829666666666661</v>
      </c>
      <c r="O18" s="2">
        <v>129.02099999999999</v>
      </c>
    </row>
    <row r="19" spans="2:15" x14ac:dyDescent="0.25">
      <c r="B19">
        <f>Sheet12!$B$19</f>
        <v>7</v>
      </c>
      <c r="E19">
        <v>2</v>
      </c>
      <c r="F19">
        <v>7</v>
      </c>
      <c r="J19">
        <f>Sheet12!$C$18</f>
        <v>81.30557142857144</v>
      </c>
      <c r="N19" s="2">
        <v>70.646500000000003</v>
      </c>
      <c r="O19" s="2">
        <v>81.30557142857144</v>
      </c>
    </row>
    <row r="20" spans="2:15" x14ac:dyDescent="0.25">
      <c r="B20">
        <f>Sheet13!$B$19</f>
        <v>2</v>
      </c>
      <c r="E20">
        <v>1</v>
      </c>
      <c r="F20">
        <v>2</v>
      </c>
      <c r="J20">
        <f>Sheet13!$C$18</f>
        <v>60.608499999999999</v>
      </c>
      <c r="N20" s="2">
        <v>18.858000000000001</v>
      </c>
      <c r="O20" s="2">
        <v>60.608499999999999</v>
      </c>
    </row>
    <row r="21" spans="2:15" x14ac:dyDescent="0.25">
      <c r="B21">
        <f>Sheet14!$B$19</f>
        <v>6</v>
      </c>
      <c r="E21">
        <v>4</v>
      </c>
      <c r="F21">
        <v>6</v>
      </c>
      <c r="J21">
        <f>Sheet14!$C$18</f>
        <v>78.783166666666673</v>
      </c>
      <c r="N21" s="2">
        <v>315.39774999999997</v>
      </c>
      <c r="O21" s="2">
        <v>78.783166666666673</v>
      </c>
    </row>
    <row r="22" spans="2:15" x14ac:dyDescent="0.25">
      <c r="B22">
        <f>Sheet15!$B$19</f>
        <v>2</v>
      </c>
      <c r="E22">
        <v>1</v>
      </c>
      <c r="F22">
        <v>2</v>
      </c>
      <c r="J22">
        <f>Sheet15!$C$18</f>
        <v>78.111500000000007</v>
      </c>
      <c r="N22" s="2">
        <v>48.386000000000003</v>
      </c>
      <c r="O22" s="2">
        <v>78.111500000000007</v>
      </c>
    </row>
    <row r="23" spans="2:15" x14ac:dyDescent="0.25">
      <c r="B23">
        <f>Sheet16!$B$19</f>
        <v>7</v>
      </c>
      <c r="E23">
        <v>1</v>
      </c>
      <c r="F23">
        <v>7</v>
      </c>
      <c r="J23">
        <f>Sheet16!$C$18</f>
        <v>40.283999999999999</v>
      </c>
      <c r="N23" s="2">
        <v>13.340999999999999</v>
      </c>
      <c r="O23" s="2">
        <v>40.283999999999999</v>
      </c>
    </row>
    <row r="24" spans="2:15" x14ac:dyDescent="0.25">
      <c r="B24">
        <f>Sheet17!$B$19</f>
        <v>7</v>
      </c>
      <c r="E24">
        <v>1</v>
      </c>
      <c r="F24">
        <v>7</v>
      </c>
      <c r="J24">
        <f>Sheet17!$C$18</f>
        <v>40.283999999999999</v>
      </c>
      <c r="N24" s="2">
        <v>9.5060000000000002</v>
      </c>
      <c r="O24" s="2">
        <v>40.283999999999999</v>
      </c>
    </row>
    <row r="25" spans="2:15" x14ac:dyDescent="0.25">
      <c r="B25">
        <f>Sheet18!$B$19</f>
        <v>4</v>
      </c>
      <c r="E25">
        <v>4</v>
      </c>
      <c r="F25">
        <v>4</v>
      </c>
      <c r="J25">
        <f>Sheet18!$C$18</f>
        <v>48.512</v>
      </c>
      <c r="N25" s="2">
        <v>47.1355</v>
      </c>
      <c r="O25" s="2">
        <v>48.512</v>
      </c>
    </row>
    <row r="26" spans="2:15" x14ac:dyDescent="0.25">
      <c r="B26">
        <f>Sheet19!$B$19</f>
        <v>1</v>
      </c>
      <c r="E26">
        <v>4</v>
      </c>
      <c r="F26">
        <v>1</v>
      </c>
      <c r="J26">
        <f>Sheet19!$C$18</f>
        <v>3.7989999999999999</v>
      </c>
      <c r="N26" s="2">
        <v>92.061999999999998</v>
      </c>
      <c r="O26" s="2">
        <v>3.7989999999999999</v>
      </c>
    </row>
    <row r="27" spans="2:15" x14ac:dyDescent="0.25">
      <c r="B27">
        <f>Sheet20!$B$19</f>
        <v>10</v>
      </c>
      <c r="F27">
        <v>10</v>
      </c>
      <c r="J27">
        <f>Sheet20!$C$18</f>
        <v>64.037900000000008</v>
      </c>
      <c r="N27" s="2"/>
      <c r="O27" s="2">
        <v>64.037900000000008</v>
      </c>
    </row>
    <row r="28" spans="2:15" x14ac:dyDescent="0.25">
      <c r="B28">
        <f>Sheet21!$B$19</f>
        <v>3</v>
      </c>
      <c r="F28">
        <v>3</v>
      </c>
      <c r="J28">
        <f>Sheet21!$C$18</f>
        <v>47.241999999999997</v>
      </c>
      <c r="N28" s="2"/>
      <c r="O28" s="2">
        <v>47.241999999999997</v>
      </c>
    </row>
    <row r="29" spans="2:15" x14ac:dyDescent="0.25">
      <c r="B29">
        <f>Sheet22!$B$19</f>
        <v>13</v>
      </c>
      <c r="F29">
        <v>13</v>
      </c>
      <c r="J29">
        <f>Sheet22!$C$18</f>
        <v>81.796076923076924</v>
      </c>
      <c r="N29" s="2"/>
      <c r="O29" s="2">
        <v>81.796076923076924</v>
      </c>
    </row>
    <row r="31" spans="2:15" x14ac:dyDescent="0.25">
      <c r="E31" t="s">
        <v>12</v>
      </c>
      <c r="F31" t="s">
        <v>11</v>
      </c>
    </row>
    <row r="32" spans="2:15" x14ac:dyDescent="0.25">
      <c r="D32">
        <v>1</v>
      </c>
      <c r="E32">
        <f t="shared" ref="E32:F44" si="0">COUNTIF(E8:E29, D32)</f>
        <v>7</v>
      </c>
      <c r="F32">
        <f t="shared" si="0"/>
        <v>4</v>
      </c>
    </row>
    <row r="33" spans="1:6" x14ac:dyDescent="0.25">
      <c r="D33">
        <v>2</v>
      </c>
      <c r="E33">
        <f t="shared" si="0"/>
        <v>2</v>
      </c>
      <c r="F33">
        <f t="shared" si="0"/>
        <v>4</v>
      </c>
    </row>
    <row r="34" spans="1:6" x14ac:dyDescent="0.25">
      <c r="D34">
        <v>3</v>
      </c>
      <c r="E34">
        <f t="shared" si="0"/>
        <v>3</v>
      </c>
      <c r="F34">
        <f t="shared" si="0"/>
        <v>3</v>
      </c>
    </row>
    <row r="35" spans="1:6" x14ac:dyDescent="0.25">
      <c r="D35">
        <v>4</v>
      </c>
      <c r="E35">
        <f t="shared" si="0"/>
        <v>3</v>
      </c>
      <c r="F35">
        <f t="shared" si="0"/>
        <v>2</v>
      </c>
    </row>
    <row r="36" spans="1:6" x14ac:dyDescent="0.25">
      <c r="D36">
        <v>5</v>
      </c>
      <c r="E36">
        <f t="shared" si="0"/>
        <v>0</v>
      </c>
      <c r="F36">
        <f t="shared" si="0"/>
        <v>0</v>
      </c>
    </row>
    <row r="37" spans="1:6" x14ac:dyDescent="0.25">
      <c r="D37">
        <v>6</v>
      </c>
      <c r="E37">
        <f t="shared" si="0"/>
        <v>0</v>
      </c>
      <c r="F37">
        <f t="shared" si="0"/>
        <v>0</v>
      </c>
    </row>
    <row r="38" spans="1:6" x14ac:dyDescent="0.25">
      <c r="D38">
        <v>7</v>
      </c>
      <c r="E38">
        <f t="shared" si="0"/>
        <v>1</v>
      </c>
      <c r="F38">
        <f t="shared" si="0"/>
        <v>1</v>
      </c>
    </row>
    <row r="39" spans="1:6" x14ac:dyDescent="0.25">
      <c r="D39">
        <v>8</v>
      </c>
      <c r="E39">
        <f t="shared" si="0"/>
        <v>0</v>
      </c>
      <c r="F39">
        <f t="shared" si="0"/>
        <v>1</v>
      </c>
    </row>
    <row r="40" spans="1:6" x14ac:dyDescent="0.25">
      <c r="D40">
        <v>9</v>
      </c>
      <c r="E40">
        <f t="shared" si="0"/>
        <v>0</v>
      </c>
      <c r="F40">
        <f t="shared" si="0"/>
        <v>2</v>
      </c>
    </row>
    <row r="41" spans="1:6" x14ac:dyDescent="0.25">
      <c r="D41">
        <v>10</v>
      </c>
      <c r="E41">
        <f t="shared" si="0"/>
        <v>0</v>
      </c>
      <c r="F41">
        <f t="shared" si="0"/>
        <v>2</v>
      </c>
    </row>
    <row r="42" spans="1:6" x14ac:dyDescent="0.25">
      <c r="D42">
        <v>11</v>
      </c>
      <c r="E42">
        <f t="shared" si="0"/>
        <v>0</v>
      </c>
      <c r="F42">
        <f t="shared" si="0"/>
        <v>2</v>
      </c>
    </row>
    <row r="43" spans="1:6" x14ac:dyDescent="0.25">
      <c r="D43">
        <v>12</v>
      </c>
      <c r="E43">
        <f t="shared" si="0"/>
        <v>0</v>
      </c>
      <c r="F43">
        <f t="shared" si="0"/>
        <v>2</v>
      </c>
    </row>
    <row r="44" spans="1:6" x14ac:dyDescent="0.25">
      <c r="D44">
        <v>13</v>
      </c>
      <c r="E44">
        <f t="shared" si="0"/>
        <v>0</v>
      </c>
      <c r="F44">
        <f t="shared" si="0"/>
        <v>2</v>
      </c>
    </row>
    <row r="45" spans="1:6" x14ac:dyDescent="0.25">
      <c r="A45" t="s">
        <v>18</v>
      </c>
      <c r="B45" t="s">
        <v>17</v>
      </c>
      <c r="C45" t="s">
        <v>18</v>
      </c>
    </row>
    <row r="46" spans="1:6" x14ac:dyDescent="0.25">
      <c r="B46" t="s">
        <v>16</v>
      </c>
    </row>
    <row r="47" spans="1:6" x14ac:dyDescent="0.25">
      <c r="A47" s="2">
        <v>2.40556875</v>
      </c>
      <c r="B47" s="2">
        <f>Sheet1!$F$17</f>
        <v>2.1946249999999998</v>
      </c>
      <c r="C47" s="2"/>
    </row>
    <row r="48" spans="1:6" x14ac:dyDescent="0.25">
      <c r="A48" s="2">
        <v>1.0067222222222223</v>
      </c>
      <c r="B48" s="2">
        <f>Sheet2!$F$17</f>
        <v>4.5172200316745776</v>
      </c>
      <c r="C48" s="2"/>
    </row>
    <row r="49" spans="1:3" x14ac:dyDescent="0.25">
      <c r="A49" s="2">
        <v>12.792486406186407</v>
      </c>
      <c r="B49" s="2">
        <f>Sheet3!$F$17</f>
        <v>2.9015</v>
      </c>
      <c r="C49" s="2"/>
    </row>
    <row r="50" spans="1:3" x14ac:dyDescent="0.25">
      <c r="A50" s="2">
        <v>1.3756666666666666</v>
      </c>
      <c r="B50" s="2">
        <f>Sheet4!$F$17</f>
        <v>14.523917167568289</v>
      </c>
      <c r="C50" s="2"/>
    </row>
    <row r="51" spans="1:3" x14ac:dyDescent="0.25">
      <c r="A51" s="2">
        <v>5.2242846776494076</v>
      </c>
      <c r="B51" s="2">
        <f>Sheet5!$F$17</f>
        <v>2.3746</v>
      </c>
      <c r="C51" s="2"/>
    </row>
    <row r="52" spans="1:3" x14ac:dyDescent="0.25">
      <c r="A52" s="2">
        <v>3.4656451612903227</v>
      </c>
      <c r="B52" s="2">
        <f>Sheet6!$F$17</f>
        <v>4.3239999999999998</v>
      </c>
      <c r="C52" s="2"/>
    </row>
    <row r="53" spans="1:3" x14ac:dyDescent="0.25">
      <c r="A53" s="2">
        <v>2.8165866666666668</v>
      </c>
      <c r="B53" s="2">
        <f>Sheet7!$F$17</f>
        <v>5.0134285714285713</v>
      </c>
      <c r="C53" s="2"/>
    </row>
    <row r="54" spans="1:3" x14ac:dyDescent="0.25">
      <c r="A54" s="2">
        <v>6.0733357258605913</v>
      </c>
      <c r="B54" s="2">
        <f>Sheet8!$F$17</f>
        <v>10.05632969008116</v>
      </c>
      <c r="C54" s="2"/>
    </row>
    <row r="55" spans="1:3" x14ac:dyDescent="0.25">
      <c r="A55" s="2">
        <v>12.504567460317462</v>
      </c>
      <c r="B55" s="2">
        <f>Sheet9!$F$17</f>
        <v>9.4396767429193904</v>
      </c>
      <c r="C55" s="2"/>
    </row>
    <row r="56" spans="1:3" x14ac:dyDescent="0.25">
      <c r="A56" s="2">
        <v>4.6805151515151513</v>
      </c>
      <c r="B56" s="2">
        <f>Sheet10!$F$17</f>
        <v>5.1933397435897435</v>
      </c>
      <c r="C56" s="2"/>
    </row>
    <row r="57" spans="1:3" x14ac:dyDescent="0.25">
      <c r="A57" s="2">
        <v>5.5318174603174599</v>
      </c>
      <c r="B57" s="2">
        <f>Sheet11!$F$17</f>
        <v>6.6197270714737506</v>
      </c>
      <c r="C57" s="2"/>
    </row>
    <row r="58" spans="1:3" x14ac:dyDescent="0.25">
      <c r="A58" s="2">
        <v>5.2973333333333334</v>
      </c>
      <c r="B58" s="2">
        <f>Sheet12!$F$17</f>
        <v>4.2971353764444853</v>
      </c>
      <c r="C58" s="2"/>
    </row>
    <row r="59" spans="1:3" x14ac:dyDescent="0.25">
      <c r="A59" s="2">
        <v>4.7145000000000001</v>
      </c>
      <c r="B59" s="2">
        <f>Sheet13!$F$17</f>
        <v>7.3851666666666667</v>
      </c>
      <c r="C59" s="2"/>
    </row>
    <row r="60" spans="1:3" x14ac:dyDescent="0.25">
      <c r="A60" s="2">
        <v>6.344815416666667</v>
      </c>
      <c r="B60" s="2">
        <f>Sheet14!$F$17</f>
        <v>6.6541560185185196</v>
      </c>
      <c r="C60" s="2"/>
    </row>
    <row r="61" spans="1:3" x14ac:dyDescent="0.25">
      <c r="A61" s="2">
        <v>6.0482500000000003</v>
      </c>
      <c r="B61" s="2">
        <f>Sheet15!$F$17</f>
        <v>8.7066499999999998</v>
      </c>
      <c r="C61" s="2"/>
    </row>
    <row r="62" spans="1:3" x14ac:dyDescent="0.25">
      <c r="A62" s="2">
        <v>3.3352499999999998</v>
      </c>
      <c r="B62" s="2">
        <f>Sheet16!$F$17</f>
        <v>3.6704427001569861</v>
      </c>
      <c r="C62" s="2"/>
    </row>
    <row r="63" spans="1:3" x14ac:dyDescent="0.25">
      <c r="A63" s="2">
        <v>1.9012</v>
      </c>
      <c r="B63" s="2">
        <f>Sheet17!$F$17</f>
        <v>3.6704427001569861</v>
      </c>
      <c r="C63" s="2"/>
    </row>
    <row r="64" spans="1:3" x14ac:dyDescent="0.25">
      <c r="A64" s="2">
        <v>2.720199393939394</v>
      </c>
      <c r="B64" s="2">
        <f>Sheet18!$F$17</f>
        <v>7.9699479166666674</v>
      </c>
      <c r="C64" s="2"/>
    </row>
    <row r="65" spans="1:3" x14ac:dyDescent="0.25">
      <c r="A65" s="2">
        <v>4.8173717439967438</v>
      </c>
      <c r="B65" s="2">
        <f>Sheet19!$F$17</f>
        <v>3.7989999999999999</v>
      </c>
      <c r="C65" s="2"/>
    </row>
    <row r="66" spans="1:3" x14ac:dyDescent="0.25">
      <c r="B66" s="2">
        <f>Sheet20!$F$17</f>
        <v>5.3586686507936507</v>
      </c>
    </row>
    <row r="67" spans="1:3" x14ac:dyDescent="0.25">
      <c r="B67" s="2">
        <f>Sheet21!$F$17</f>
        <v>3.1451051587301584</v>
      </c>
    </row>
    <row r="68" spans="1:3" x14ac:dyDescent="0.25">
      <c r="B68" s="2">
        <f>Sheet22!$F$17</f>
        <v>15.61566923076923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314325</xdr:colOff>
                <xdr:row>1</xdr:row>
                <xdr:rowOff>161925</xdr:rowOff>
              </from>
              <to>
                <xdr:col>3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22</vt:i4>
      </vt:variant>
    </vt:vector>
  </HeadingPairs>
  <TitlesOfParts>
    <vt:vector size="45" baseType="lpstr">
      <vt:lpstr>Sheet22</vt:lpstr>
      <vt:lpstr>Sheet21</vt:lpstr>
      <vt:lpstr>Sheet20</vt:lpstr>
      <vt:lpstr>Sheet19</vt:lpstr>
      <vt:lpstr>Sheet18</vt:lpstr>
      <vt:lpstr>Sheet17</vt:lpstr>
      <vt:lpstr>Sheet16</vt:lpstr>
      <vt:lpstr>Sheet15</vt:lpstr>
      <vt:lpstr>Sheet14</vt:lpstr>
      <vt:lpstr>Sheet13</vt:lpstr>
      <vt:lpstr>Sheet12</vt:lpstr>
      <vt:lpstr>Sheet11</vt:lpstr>
      <vt:lpstr>Sheet10</vt:lpstr>
      <vt:lpstr>Sheet9</vt:lpstr>
      <vt:lpstr>Sheet8</vt:lpstr>
      <vt:lpstr>Sheet7</vt:lpstr>
      <vt:lpstr>Sheet6</vt:lpstr>
      <vt:lpstr>Sheet5</vt:lpstr>
      <vt:lpstr>Sheet4</vt:lpstr>
      <vt:lpstr>Sheet3</vt:lpstr>
      <vt:lpstr>Sheet2</vt:lpstr>
      <vt:lpstr>Sheet1</vt:lpstr>
      <vt:lpstr>NewData</vt:lpstr>
      <vt:lpstr>Sheet1!a1_</vt:lpstr>
      <vt:lpstr>Sheet10!a10_</vt:lpstr>
      <vt:lpstr>Sheet11!a11_</vt:lpstr>
      <vt:lpstr>Sheet12!a12_</vt:lpstr>
      <vt:lpstr>Sheet13!a13_</vt:lpstr>
      <vt:lpstr>Sheet14!a14_</vt:lpstr>
      <vt:lpstr>Sheet15!a15_</vt:lpstr>
      <vt:lpstr>Sheet16!a16_</vt:lpstr>
      <vt:lpstr>Sheet17!a17_</vt:lpstr>
      <vt:lpstr>Sheet18!a18_</vt:lpstr>
      <vt:lpstr>Sheet19!a19_</vt:lpstr>
      <vt:lpstr>Sheet2!a2_</vt:lpstr>
      <vt:lpstr>Sheet20!a20_</vt:lpstr>
      <vt:lpstr>Sheet21!a21_</vt:lpstr>
      <vt:lpstr>Sheet22!a22_</vt:lpstr>
      <vt:lpstr>Sheet3!a3_</vt:lpstr>
      <vt:lpstr>Sheet4!a4_</vt:lpstr>
      <vt:lpstr>Sheet5!a5_</vt:lpstr>
      <vt:lpstr>Sheet6!a6_</vt:lpstr>
      <vt:lpstr>Sheet7!a7_</vt:lpstr>
      <vt:lpstr>Sheet8!a8_</vt:lpstr>
      <vt:lpstr>Sheet9!a9_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Chaput</dc:creator>
  <cp:lastModifiedBy>Nicholas Chaput</cp:lastModifiedBy>
  <dcterms:created xsi:type="dcterms:W3CDTF">2017-02-03T02:51:37Z</dcterms:created>
  <dcterms:modified xsi:type="dcterms:W3CDTF">2017-02-03T04:09:25Z</dcterms:modified>
</cp:coreProperties>
</file>