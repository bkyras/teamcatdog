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nicholas\Documents\Classes\IMGD3900\teamcatdog\Ass08\"/>
    </mc:Choice>
  </mc:AlternateContent>
  <bookViews>
    <workbookView xWindow="0" yWindow="0" windowWidth="28800" windowHeight="12210" firstSheet="6" activeTab="19"/>
  </bookViews>
  <sheets>
    <sheet name="Sheet19" sheetId="21" r:id="rId1"/>
    <sheet name="Sheet18" sheetId="20" r:id="rId2"/>
    <sheet name="Sheet17" sheetId="19" r:id="rId3"/>
    <sheet name="Sheet16" sheetId="18" r:id="rId4"/>
    <sheet name="Sheet15" sheetId="17" r:id="rId5"/>
    <sheet name="Sheet14" sheetId="16" r:id="rId6"/>
    <sheet name="Sheet13" sheetId="15" r:id="rId7"/>
    <sheet name="Sheet12" sheetId="14" r:id="rId8"/>
    <sheet name="Sheet11" sheetId="13" r:id="rId9"/>
    <sheet name="Sheet10" sheetId="12" r:id="rId10"/>
    <sheet name="Sheet9" sheetId="11" r:id="rId11"/>
    <sheet name="Sheet8" sheetId="10" r:id="rId12"/>
    <sheet name="Sheet7" sheetId="9" r:id="rId13"/>
    <sheet name="Sheet6" sheetId="8" r:id="rId14"/>
    <sheet name="Sheet5" sheetId="7" r:id="rId15"/>
    <sheet name="Sheet4" sheetId="6" r:id="rId16"/>
    <sheet name="Sheet3" sheetId="5" r:id="rId17"/>
    <sheet name="Sheet2" sheetId="4" r:id="rId18"/>
    <sheet name="Sheet1" sheetId="3" r:id="rId19"/>
    <sheet name="OldData" sheetId="1" r:id="rId20"/>
  </sheets>
  <definedNames>
    <definedName name="a1_" localSheetId="18">Sheet1!$A$1:$D$4</definedName>
    <definedName name="a10_" localSheetId="9">Sheet10!$A$1:$D$4</definedName>
    <definedName name="a11_" localSheetId="8">Sheet11!$A$1:$D$4</definedName>
    <definedName name="a12_" localSheetId="7">Sheet12!$A$1:$D$3</definedName>
    <definedName name="a13_" localSheetId="6">Sheet13!$A$1:$D$2</definedName>
    <definedName name="a14_" localSheetId="5">Sheet14!$A$1:$D$5</definedName>
    <definedName name="a15_" localSheetId="4">Sheet15!$A$1:$D$2</definedName>
    <definedName name="a16_" localSheetId="3">Sheet16!$A$1:$D$2</definedName>
    <definedName name="a17_" localSheetId="2">Sheet17!$A$1:$D$2</definedName>
    <definedName name="a18_" localSheetId="1">Sheet18!$A$1:$D$5</definedName>
    <definedName name="a19_" localSheetId="0">Sheet19!$A$1:$D$5</definedName>
    <definedName name="a2_" localSheetId="17">Sheet2!$A$1:$D$2</definedName>
    <definedName name="a3_" localSheetId="16">Sheet3!$A$1:$D$10</definedName>
    <definedName name="a4_" localSheetId="15">Sheet4!$A$1:$D$2</definedName>
    <definedName name="a5_" localSheetId="14">Sheet5!$A$1:$D$4</definedName>
    <definedName name="a6_" localSheetId="13">Sheet6!$A$1:$D$2</definedName>
    <definedName name="a7_" localSheetId="12">Sheet7!$A$1:$D$3</definedName>
    <definedName name="a8_" localSheetId="11">Sheet8!$A$1:$D$12</definedName>
    <definedName name="a9_" localSheetId="10">Sheet9!$A$1:$D$12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F27" i="1"/>
  <c r="B27" i="1"/>
  <c r="I26" i="1"/>
  <c r="F26" i="1"/>
  <c r="B26" i="1"/>
  <c r="I25" i="1"/>
  <c r="F25" i="1"/>
  <c r="B25" i="1"/>
  <c r="I24" i="1"/>
  <c r="F24" i="1"/>
  <c r="B24" i="1"/>
  <c r="I23" i="1"/>
  <c r="F23" i="1"/>
  <c r="B23" i="1"/>
  <c r="I22" i="1"/>
  <c r="F22" i="1"/>
  <c r="B22" i="1"/>
  <c r="I21" i="1"/>
  <c r="F21" i="1"/>
  <c r="B21" i="1"/>
  <c r="I20" i="1"/>
  <c r="F20" i="1"/>
  <c r="B20" i="1"/>
  <c r="I19" i="1"/>
  <c r="F19" i="1"/>
  <c r="B19" i="1"/>
  <c r="I18" i="1"/>
  <c r="F18" i="1"/>
  <c r="B18" i="1"/>
  <c r="I17" i="1"/>
  <c r="F17" i="1"/>
  <c r="B17" i="1"/>
  <c r="I16" i="1"/>
  <c r="F16" i="1"/>
  <c r="B16" i="1"/>
  <c r="I15" i="1"/>
  <c r="F15" i="1"/>
  <c r="B15" i="1"/>
  <c r="I14" i="1"/>
  <c r="F14" i="1"/>
  <c r="B14" i="1"/>
  <c r="I13" i="1"/>
  <c r="F13" i="1"/>
  <c r="B13" i="1"/>
  <c r="I12" i="1"/>
  <c r="F12" i="1"/>
  <c r="B12" i="1"/>
  <c r="I11" i="1"/>
  <c r="F11" i="1"/>
  <c r="B11" i="1"/>
  <c r="I10" i="1"/>
  <c r="F10" i="1"/>
  <c r="B10" i="1"/>
  <c r="I9" i="1"/>
  <c r="F9" i="1"/>
  <c r="B9" i="1"/>
  <c r="B19" i="3"/>
  <c r="C16" i="3"/>
  <c r="F15" i="3"/>
  <c r="F15" i="3" a="1"/>
  <c r="C15" i="3"/>
  <c r="C15" i="3" a="1"/>
  <c r="F12" i="3"/>
  <c r="F11" i="3"/>
  <c r="F10" i="3"/>
  <c r="F9" i="3"/>
  <c r="F8" i="3"/>
  <c r="F7" i="3"/>
  <c r="F6" i="3"/>
  <c r="F5" i="3"/>
  <c r="F4" i="3"/>
  <c r="F3" i="3"/>
  <c r="F2" i="3"/>
  <c r="B19" i="4"/>
  <c r="C16" i="4"/>
  <c r="F15" i="4"/>
  <c r="F15" i="4" a="1"/>
  <c r="C15" i="4"/>
  <c r="C15" i="4" a="1"/>
  <c r="F12" i="4"/>
  <c r="F11" i="4"/>
  <c r="F10" i="4"/>
  <c r="F9" i="4"/>
  <c r="F8" i="4"/>
  <c r="F7" i="4"/>
  <c r="F6" i="4"/>
  <c r="F5" i="4"/>
  <c r="F4" i="4"/>
  <c r="F3" i="4"/>
  <c r="F2" i="4"/>
  <c r="B19" i="5"/>
  <c r="C16" i="5"/>
  <c r="F15" i="5"/>
  <c r="F15" i="5" a="1"/>
  <c r="C15" i="5"/>
  <c r="C15" i="5" a="1"/>
  <c r="F12" i="5"/>
  <c r="F11" i="5"/>
  <c r="F10" i="5"/>
  <c r="F9" i="5"/>
  <c r="F8" i="5"/>
  <c r="F7" i="5"/>
  <c r="F6" i="5"/>
  <c r="F5" i="5"/>
  <c r="F4" i="5"/>
  <c r="F3" i="5"/>
  <c r="F2" i="5"/>
  <c r="B19" i="6"/>
  <c r="C16" i="6"/>
  <c r="F15" i="6"/>
  <c r="F15" i="6" a="1"/>
  <c r="C15" i="6"/>
  <c r="C15" i="6" a="1"/>
  <c r="F12" i="6"/>
  <c r="F11" i="6"/>
  <c r="F10" i="6"/>
  <c r="F9" i="6"/>
  <c r="F8" i="6"/>
  <c r="F7" i="6"/>
  <c r="F6" i="6"/>
  <c r="F5" i="6"/>
  <c r="F4" i="6"/>
  <c r="F3" i="6"/>
  <c r="F2" i="6"/>
  <c r="B19" i="7"/>
  <c r="C16" i="7"/>
  <c r="F15" i="7"/>
  <c r="F15" i="7" a="1"/>
  <c r="C15" i="7"/>
  <c r="C15" i="7" a="1"/>
  <c r="F12" i="7"/>
  <c r="F11" i="7"/>
  <c r="F10" i="7"/>
  <c r="F9" i="7"/>
  <c r="F8" i="7"/>
  <c r="F7" i="7"/>
  <c r="F6" i="7"/>
  <c r="F5" i="7"/>
  <c r="F4" i="7"/>
  <c r="F3" i="7"/>
  <c r="F2" i="7"/>
  <c r="B19" i="8"/>
  <c r="C16" i="8"/>
  <c r="F15" i="8"/>
  <c r="F15" i="8" a="1"/>
  <c r="C15" i="8"/>
  <c r="C15" i="8" a="1"/>
  <c r="F12" i="8"/>
  <c r="F11" i="8"/>
  <c r="F10" i="8"/>
  <c r="F9" i="8"/>
  <c r="F8" i="8"/>
  <c r="F7" i="8"/>
  <c r="F6" i="8"/>
  <c r="F5" i="8"/>
  <c r="F4" i="8"/>
  <c r="F3" i="8"/>
  <c r="F2" i="8"/>
  <c r="B19" i="9"/>
  <c r="C16" i="9"/>
  <c r="F15" i="9"/>
  <c r="F15" i="9" a="1"/>
  <c r="C15" i="9"/>
  <c r="C15" i="9" a="1"/>
  <c r="F12" i="9"/>
  <c r="F11" i="9"/>
  <c r="F10" i="9"/>
  <c r="F9" i="9"/>
  <c r="F8" i="9"/>
  <c r="F7" i="9"/>
  <c r="F6" i="9"/>
  <c r="F5" i="9"/>
  <c r="F4" i="9"/>
  <c r="F3" i="9"/>
  <c r="F2" i="9"/>
  <c r="B19" i="10"/>
  <c r="C16" i="10"/>
  <c r="F15" i="10"/>
  <c r="F15" i="10" a="1"/>
  <c r="C15" i="10"/>
  <c r="C15" i="10" a="1"/>
  <c r="F12" i="10"/>
  <c r="F11" i="10"/>
  <c r="F10" i="10"/>
  <c r="F9" i="10"/>
  <c r="F8" i="10"/>
  <c r="F7" i="10"/>
  <c r="F6" i="10"/>
  <c r="F5" i="10"/>
  <c r="F4" i="10"/>
  <c r="F3" i="10"/>
  <c r="F2" i="10"/>
  <c r="B19" i="11"/>
  <c r="C16" i="11"/>
  <c r="F15" i="11"/>
  <c r="F15" i="11" a="1"/>
  <c r="C15" i="11"/>
  <c r="C15" i="11" a="1"/>
  <c r="F12" i="11"/>
  <c r="F11" i="11"/>
  <c r="F10" i="11"/>
  <c r="F9" i="11"/>
  <c r="F8" i="11"/>
  <c r="F7" i="11"/>
  <c r="F6" i="11"/>
  <c r="F5" i="11"/>
  <c r="F4" i="11"/>
  <c r="F3" i="11"/>
  <c r="F2" i="11"/>
  <c r="B19" i="12"/>
  <c r="C16" i="12"/>
  <c r="F15" i="12"/>
  <c r="F15" i="12" a="1"/>
  <c r="C15" i="12"/>
  <c r="C15" i="12" a="1"/>
  <c r="F12" i="12"/>
  <c r="F11" i="12"/>
  <c r="F10" i="12"/>
  <c r="F9" i="12"/>
  <c r="F8" i="12"/>
  <c r="F7" i="12"/>
  <c r="F6" i="12"/>
  <c r="F5" i="12"/>
  <c r="F4" i="12"/>
  <c r="F3" i="12"/>
  <c r="F2" i="12"/>
  <c r="B19" i="13"/>
  <c r="C16" i="13"/>
  <c r="F15" i="13"/>
  <c r="F15" i="13" a="1"/>
  <c r="C15" i="13"/>
  <c r="C15" i="13" a="1"/>
  <c r="F12" i="13"/>
  <c r="F11" i="13"/>
  <c r="F10" i="13"/>
  <c r="F9" i="13"/>
  <c r="F8" i="13"/>
  <c r="F7" i="13"/>
  <c r="F6" i="13"/>
  <c r="F5" i="13"/>
  <c r="F4" i="13"/>
  <c r="F3" i="13"/>
  <c r="F2" i="13"/>
  <c r="B19" i="14"/>
  <c r="C16" i="14"/>
  <c r="F15" i="14"/>
  <c r="F15" i="14" a="1"/>
  <c r="C15" i="14"/>
  <c r="C15" i="14" a="1"/>
  <c r="F12" i="14"/>
  <c r="F11" i="14"/>
  <c r="F10" i="14"/>
  <c r="F9" i="14"/>
  <c r="F8" i="14"/>
  <c r="F7" i="14"/>
  <c r="F6" i="14"/>
  <c r="F5" i="14"/>
  <c r="F4" i="14"/>
  <c r="F3" i="14"/>
  <c r="F2" i="14"/>
  <c r="B19" i="15"/>
  <c r="C16" i="15"/>
  <c r="F15" i="15"/>
  <c r="F15" i="15" a="1"/>
  <c r="C15" i="15"/>
  <c r="C15" i="15" a="1"/>
  <c r="F12" i="15"/>
  <c r="F11" i="15"/>
  <c r="F10" i="15"/>
  <c r="F9" i="15"/>
  <c r="F8" i="15"/>
  <c r="F7" i="15"/>
  <c r="F6" i="15"/>
  <c r="F5" i="15"/>
  <c r="F4" i="15"/>
  <c r="F3" i="15"/>
  <c r="F2" i="15"/>
  <c r="B19" i="16"/>
  <c r="C16" i="16"/>
  <c r="F15" i="16"/>
  <c r="F15" i="16" a="1"/>
  <c r="C15" i="16"/>
  <c r="C15" i="16" a="1"/>
  <c r="F12" i="16"/>
  <c r="F11" i="16"/>
  <c r="F10" i="16"/>
  <c r="F9" i="16"/>
  <c r="F8" i="16"/>
  <c r="F7" i="16"/>
  <c r="F6" i="16"/>
  <c r="F5" i="16"/>
  <c r="F4" i="16"/>
  <c r="F3" i="16"/>
  <c r="F2" i="16"/>
  <c r="B19" i="17"/>
  <c r="C16" i="17"/>
  <c r="F15" i="17"/>
  <c r="F15" i="17" a="1"/>
  <c r="C15" i="17"/>
  <c r="C15" i="17" a="1"/>
  <c r="F12" i="17"/>
  <c r="F11" i="17"/>
  <c r="F10" i="17"/>
  <c r="F9" i="17"/>
  <c r="F8" i="17"/>
  <c r="F7" i="17"/>
  <c r="F6" i="17"/>
  <c r="F5" i="17"/>
  <c r="F4" i="17"/>
  <c r="F3" i="17"/>
  <c r="F2" i="17"/>
  <c r="B19" i="18"/>
  <c r="C16" i="18"/>
  <c r="F15" i="18"/>
  <c r="F15" i="18" a="1"/>
  <c r="C15" i="18"/>
  <c r="C15" i="18" a="1"/>
  <c r="F12" i="18"/>
  <c r="F11" i="18"/>
  <c r="F10" i="18"/>
  <c r="F9" i="18"/>
  <c r="F8" i="18"/>
  <c r="F7" i="18"/>
  <c r="F6" i="18"/>
  <c r="F5" i="18"/>
  <c r="F4" i="18"/>
  <c r="F3" i="18"/>
  <c r="F2" i="18"/>
  <c r="B19" i="19"/>
  <c r="C16" i="19"/>
  <c r="F15" i="19"/>
  <c r="F15" i="19" a="1"/>
  <c r="C15" i="19"/>
  <c r="C15" i="19" a="1"/>
  <c r="F12" i="19"/>
  <c r="F11" i="19"/>
  <c r="F10" i="19"/>
  <c r="F9" i="19"/>
  <c r="F8" i="19"/>
  <c r="F7" i="19"/>
  <c r="F6" i="19"/>
  <c r="F5" i="19"/>
  <c r="F4" i="19"/>
  <c r="F3" i="19"/>
  <c r="F2" i="19"/>
  <c r="B19" i="20"/>
  <c r="C16" i="20"/>
  <c r="F15" i="20"/>
  <c r="F15" i="20" a="1"/>
  <c r="C15" i="20"/>
  <c r="C15" i="20" a="1"/>
  <c r="F12" i="20"/>
  <c r="F11" i="20"/>
  <c r="F10" i="20"/>
  <c r="F9" i="20"/>
  <c r="F8" i="20"/>
  <c r="F7" i="20"/>
  <c r="F6" i="20"/>
  <c r="F5" i="20"/>
  <c r="F4" i="20"/>
  <c r="F3" i="20"/>
  <c r="F2" i="20"/>
  <c r="B19" i="21"/>
  <c r="C16" i="21"/>
  <c r="F15" i="21"/>
  <c r="F15" i="21" a="1"/>
  <c r="C15" i="21"/>
  <c r="C15" i="21" a="1"/>
  <c r="F12" i="21"/>
  <c r="F11" i="21"/>
  <c r="F10" i="21"/>
  <c r="F9" i="21"/>
  <c r="F8" i="21"/>
  <c r="F7" i="21"/>
  <c r="F6" i="21"/>
  <c r="F5" i="21"/>
  <c r="F4" i="21"/>
  <c r="F3" i="21"/>
  <c r="F2" i="21"/>
</calcChain>
</file>

<file path=xl/connections.xml><?xml version="1.0" encoding="utf-8"?>
<connections xmlns="http://schemas.openxmlformats.org/spreadsheetml/2006/main">
  <connection id="1" name="thataway_nchaput_FRI_27_JAN_2017_01_28_23_587AM" type="6" refreshedVersion="6" background="1" saveData="1">
    <textPr prompt="0" codePage="437" sourceFile="E:\Users\nicholas\Documents\Classes\IMGD3900\teamcatdog\Ass08\olddata\thataway_nchaput_FRI_27_JAN_2017_01_28_23_587AM.csv" tab="0" comma="1">
      <textFields count="3">
        <textField/>
        <textField/>
        <textField/>
      </textFields>
    </textPr>
  </connection>
  <connection id="2" name="thataway_nchaput_FRI_27_JAN_2017_01_32_52_546AM" type="6" refreshedVersion="6" background="1" saveData="1">
    <textPr prompt="0" codePage="437" sourceFile="E:\Users\nicholas\Documents\Classes\IMGD3900\teamcatdog\Ass08\olddata\thataway_nchaput_FRI_27_JAN_2017_01_32_52_546AM.csv" tab="0" comma="1">
      <textFields count="3">
        <textField/>
        <textField/>
        <textField/>
      </textFields>
    </textPr>
  </connection>
  <connection id="3" name="thataway_nchaput_FRI_27_JAN_2017_01_44_48_934AM" type="6" refreshedVersion="6" background="1" saveData="1">
    <textPr prompt="0" codePage="437" sourceFile="E:\Users\nicholas\Documents\Classes\IMGD3900\teamcatdog\Ass08\olddata\thataway_nchaput_FRI_27_JAN_2017_01_44_48_934AM.csv" tab="0" comma="1">
      <textFields count="3">
        <textField/>
        <textField/>
        <textField/>
      </textFields>
    </textPr>
  </connection>
  <connection id="4" name="thataway_nchaput_FRI_27_JAN_2017_09_04_08_719AM" type="6" refreshedVersion="6" background="1" saveData="1">
    <textPr prompt="0" codePage="437" sourceFile="E:\Users\nicholas\Documents\Classes\IMGD3900\teamcatdog\Ass08\olddata\thataway_nchaput_FRI_27_JAN_2017_09_04_08_719AM.csv" tab="0" comma="1">
      <textFields count="3">
        <textField/>
        <textField/>
        <textField/>
      </textFields>
    </textPr>
  </connection>
  <connection id="5" name="thataway_nchaput_FRI_27_JAN_2017_09_36_00_844AM" type="6" refreshedVersion="6" background="1" saveData="1">
    <textPr prompt="0" codePage="437" sourceFile="E:\Users\nicholas\Documents\Classes\IMGD3900\teamcatdog\Ass08\olddata\thataway_nchaput_FRI_27_JAN_2017_09_36_00_844AM.csv" tab="0" comma="1">
      <textFields count="3">
        <textField/>
        <textField/>
        <textField/>
      </textFields>
    </textPr>
  </connection>
  <connection id="6" name="thataway_nchaput_FRI_27_JAN_2017_09_39_27_794AM" type="6" refreshedVersion="6" background="1" saveData="1">
    <textPr prompt="0" codePage="437" sourceFile="E:\Users\nicholas\Documents\Classes\IMGD3900\teamcatdog\Ass08\olddata\thataway_nchaput_FRI_27_JAN_2017_09_39_27_794AM.csv" tab="0" comma="1">
      <textFields count="3">
        <textField/>
        <textField/>
        <textField/>
      </textFields>
    </textPr>
  </connection>
  <connection id="7" name="thataway_nchaput_FRI_27_JAN_2017_09_42_01_971AM" type="6" refreshedVersion="6" background="1" saveData="1">
    <textPr prompt="0" codePage="437" sourceFile="E:\Users\nicholas\Documents\Classes\IMGD3900\teamcatdog\Ass08\olddata\thataway_nchaput_FRI_27_JAN_2017_09_42_01_971AM.csv" tab="0" comma="1">
      <textFields count="3">
        <textField/>
        <textField/>
        <textField/>
      </textFields>
    </textPr>
  </connection>
  <connection id="8" name="thataway_nchaput_FRI_27_JAN_2017_10_08_46_842AM" type="6" refreshedVersion="6" background="1" saveData="1">
    <textPr prompt="0" codePage="437" sourceFile="E:\Users\nicholas\Documents\Classes\IMGD3900\teamcatdog\Ass08\olddata\thataway_nchaput_FRI_27_JAN_2017_10_08_46_842AM.csv" tab="0" comma="1">
      <textFields count="3">
        <textField/>
        <textField/>
        <textField/>
      </textFields>
    </textPr>
  </connection>
  <connection id="9" name="thataway_nchaput_FRI_27_JAN_2017_10_10_25_401AM" type="6" refreshedVersion="6" background="1" saveData="1">
    <textPr prompt="0" codePage="437" sourceFile="E:\Users\nicholas\Documents\Classes\IMGD3900\teamcatdog\Ass08\olddata\thataway_nchaput_FRI_27_JAN_2017_10_10_25_401AM.csv" tab="0" comma="1">
      <textFields count="3">
        <textField/>
        <textField/>
        <textField/>
      </textFields>
    </textPr>
  </connection>
  <connection id="10" name="thataway_nchaput_FRI_27_JAN_2017_10_22_01_756AM" type="6" refreshedVersion="6" background="1" saveData="1">
    <textPr prompt="0" codePage="437" sourceFile="E:\Users\nicholas\Documents\Classes\IMGD3900\teamcatdog\Ass08\olddata\thataway_nchaput_FRI_27_JAN_2017_10_22_01_756AM.csv" tab="0" comma="1">
      <textFields count="3">
        <textField/>
        <textField/>
        <textField/>
      </textFields>
    </textPr>
  </connection>
  <connection id="11" name="thataway_nchaput_FRI_27_JAN_2017_10_42_09_389AM" type="6" refreshedVersion="6" background="1" saveData="1">
    <textPr prompt="0" codePage="437" sourceFile="E:\Users\nicholas\Documents\Classes\IMGD3900\teamcatdog\Ass08\olddata\thataway_nchaput_FRI_27_JAN_2017_10_42_09_389AM.csv" tab="0" comma="1">
      <textFields count="3">
        <textField/>
        <textField/>
        <textField/>
      </textFields>
    </textPr>
  </connection>
  <connection id="12" name="thataway_nchaput_FRI_27_JAN_2017_10_42_18_814AM" type="6" refreshedVersion="6" background="1" saveData="1">
    <textPr prompt="0" codePage="437" sourceFile="E:\Users\nicholas\Documents\Classes\IMGD3900\teamcatdog\Ass08\olddata\thataway_nchaput_FRI_27_JAN_2017_10_42_18_814AM.csv" tab="0" comma="1">
      <textFields count="3">
        <textField/>
        <textField/>
        <textField/>
      </textFields>
    </textPr>
  </connection>
  <connection id="13" name="thataway_nchaput_SUN_29_JAN_2017_08_04_10_256PM" type="6" refreshedVersion="6" background="1" saveData="1">
    <textPr prompt="0" codePage="437" sourceFile="E:\Users\nicholas\Documents\Classes\IMGD3900\teamcatdog\Ass08\olddata\thataway_nchaput_SUN_29_JAN_2017_08_04_10_256PM.csv" tab="0" comma="1">
      <textFields count="3">
        <textField/>
        <textField/>
        <textField/>
      </textFields>
    </textPr>
  </connection>
  <connection id="14" name="thataway_nchaput_SUN_29_JAN_2017_08_05_17_802PM" type="6" refreshedVersion="6" background="1" saveData="1">
    <textPr prompt="0" codePage="437" sourceFile="E:\Users\nicholas\Documents\Classes\IMGD3900\teamcatdog\Ass08\olddata\thataway_nchaput_SUN_29_JAN_2017_08_05_17_802PM.csv" tab="0" comma="1">
      <textFields count="3">
        <textField/>
        <textField/>
        <textField/>
      </textFields>
    </textPr>
  </connection>
  <connection id="15" name="thataway_nchaput_SUN_29_JAN_2017_08_17_32_866PM" type="6" refreshedVersion="6" background="1" saveData="1">
    <textPr prompt="0" codePage="437" sourceFile="E:\Users\nicholas\Documents\Classes\IMGD3900\teamcatdog\Ass08\olddata\thataway_nchaput_SUN_29_JAN_2017_08_17_32_866PM.csv" tab="0" comma="1">
      <textFields count="3">
        <textField/>
        <textField/>
        <textField/>
      </textFields>
    </textPr>
  </connection>
  <connection id="16" name="thataway_nchaput_SUN_29_JAN_2017_09_26_57_450PM" type="6" refreshedVersion="6" background="1" saveData="1">
    <textPr prompt="0" codePage="437" sourceFile="E:\Users\nicholas\Documents\Classes\IMGD3900\teamcatdog\Ass08\olddata\thataway_nchaput_SUN_29_JAN_2017_09_26_57_450PM.csv" tab="0" comma="1">
      <textFields count="3">
        <textField/>
        <textField/>
        <textField/>
      </textFields>
    </textPr>
  </connection>
  <connection id="17" name="thataway_nchaput_SUN_29_JAN_2017_09_27_28_290PM" type="6" refreshedVersion="6" background="1" saveData="1">
    <textPr prompt="0" codePage="437" sourceFile="E:\Users\nicholas\Documents\Classes\IMGD3900\teamcatdog\Ass08\olddata\thataway_nchaput_SUN_29_JAN_2017_09_27_28_290PM.csv" tab="0" comma="1">
      <textFields count="3">
        <textField/>
        <textField/>
        <textField/>
      </textFields>
    </textPr>
  </connection>
  <connection id="18" name="thataway_nchaput_SUN_29_JAN_2017_09_27_40_921PM" type="6" refreshedVersion="6" background="1" saveData="1">
    <textPr prompt="0" codePage="437" sourceFile="E:\Users\nicholas\Documents\Classes\IMGD3900\teamcatdog\Ass08\olddata\thataway_nchaput_SUN_29_JAN_2017_09_27_40_921PM.csv" tab="0" comma="1">
      <textFields count="3">
        <textField/>
        <textField/>
        <textField/>
      </textFields>
    </textPr>
  </connection>
  <connection id="19" name="thataway_nchaput_SUN_29_JAN_2017_09_48_29_054PM" type="6" refreshedVersion="6" background="1" saveData="1">
    <textPr prompt="0" codePage="437" sourceFile="E:\Users\nicholas\Documents\Classes\IMGD3900\teamcatdog\Ass08\olddata\thataway_nchaput_SUN_29_JAN_2017_09_48_29_054PM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<sst xmlns="http://schemas.openxmlformats.org/spreadsheetml/2006/main" count="100" uniqueCount="10">
  <si>
    <t>time</t>
  </si>
  <si>
    <t>level</t>
  </si>
  <si>
    <t>leveltime</t>
  </si>
  <si>
    <t>moves</t>
  </si>
  <si>
    <t>Avg sec/move</t>
  </si>
  <si>
    <t>Sheet1</t>
  </si>
  <si>
    <t>Sheet2</t>
  </si>
  <si>
    <t>MaxLvlCompleted</t>
  </si>
  <si>
    <t>Average time per level</t>
  </si>
  <si>
    <t>average per 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</si>
</sst>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</xdr:row>
          <xdr:rowOff>152400</xdr:rowOff>
        </xdr:from>
        <xdr:to>
          <xdr:col>3</xdr:col>
          <xdr:colOff>295275</xdr:colOff>
          <xdr:row>3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C00370D-80CA-4DD6-85F2-D64850C22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a19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18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17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16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15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14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13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12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11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a10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a9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8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7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a6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a5" connectionId="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a4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a3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a2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a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5.806712962962964E-5</v>
      </c>
      <c r="B2">
        <v>1</v>
      </c>
      <c r="C2">
        <v>5010</v>
      </c>
      <c r="D2">
        <v>1</v>
      </c>
      <c r="F2">
        <f t="shared" ref="F2:F12" si="0">C2/(D2*1000)</f>
        <v>5.01</v>
      </c>
    </row>
    <row r="3" spans="1:6" x14ac:dyDescent="0.25">
      <c r="A3" s="1">
        <v>9.9766203703703714E-4</v>
      </c>
      <c r="B3">
        <v>2</v>
      </c>
      <c r="C3">
        <v>79659</v>
      </c>
      <c r="D3">
        <v>14</v>
      </c>
      <c r="F3">
        <f t="shared" si="0"/>
        <v>5.6899285714285712</v>
      </c>
    </row>
    <row r="4" spans="1:6" x14ac:dyDescent="0.25">
      <c r="A4" s="1">
        <v>2.3497916666666667E-3</v>
      </c>
      <c r="B4">
        <v>3</v>
      </c>
      <c r="C4">
        <v>113926</v>
      </c>
      <c r="D4">
        <v>27</v>
      </c>
      <c r="F4">
        <f t="shared" si="0"/>
        <v>4.2194814814814814</v>
      </c>
    </row>
    <row r="5" spans="1:6" x14ac:dyDescent="0.25">
      <c r="A5" s="1">
        <v>4.4060879629629632E-3</v>
      </c>
      <c r="B5">
        <v>4</v>
      </c>
      <c r="C5">
        <v>169653</v>
      </c>
      <c r="D5">
        <v>39</v>
      </c>
      <c r="F5">
        <f t="shared" si="0"/>
        <v>4.350076923076923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92062</v>
      </c>
      <c r="F15">
        <f t="array" ref="F15">AVERAGE(IF(ISNUMBER(F2:F12),F2:F12))</f>
        <v>4.8173717439967438</v>
      </c>
    </row>
    <row r="16" spans="1:6" x14ac:dyDescent="0.25">
      <c r="C16">
        <f>C15/1000</f>
        <v>92.061999999999998</v>
      </c>
    </row>
    <row r="19" spans="2:2" x14ac:dyDescent="0.25">
      <c r="B19">
        <f>MAX(B2:B15)</f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7.4143518518518512E-5</v>
      </c>
      <c r="B2">
        <v>1</v>
      </c>
      <c r="C2">
        <v>6402</v>
      </c>
      <c r="D2">
        <v>3</v>
      </c>
      <c r="F2">
        <f t="shared" ref="F2:F12" si="0">C2/(D2*1000)</f>
        <v>2.1339999999999999</v>
      </c>
    </row>
    <row r="3" spans="1:6" x14ac:dyDescent="0.25">
      <c r="A3" s="1">
        <v>6.2083333333333337E-4</v>
      </c>
      <c r="B3">
        <v>2</v>
      </c>
      <c r="C3">
        <v>17929</v>
      </c>
      <c r="D3">
        <v>6</v>
      </c>
      <c r="F3">
        <f t="shared" si="0"/>
        <v>2.9881666666666669</v>
      </c>
    </row>
    <row r="4" spans="1:6" x14ac:dyDescent="0.25">
      <c r="A4" s="1">
        <v>1.4921759259259261E-3</v>
      </c>
      <c r="B4">
        <v>3</v>
      </c>
      <c r="C4">
        <v>67002</v>
      </c>
      <c r="D4">
        <v>50</v>
      </c>
      <c r="F4">
        <f t="shared" si="0"/>
        <v>1.3400399999999999</v>
      </c>
    </row>
    <row r="5" spans="1:6" x14ac:dyDescent="0.25">
      <c r="A5" s="1">
        <v>3.6026620370370375E-3</v>
      </c>
      <c r="B5">
        <v>4</v>
      </c>
      <c r="C5">
        <v>97209</v>
      </c>
      <c r="D5">
        <v>22</v>
      </c>
      <c r="F5">
        <f t="shared" si="0"/>
        <v>4.4185909090909092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47135.5</v>
      </c>
      <c r="F15">
        <f t="array" ref="F15">AVERAGE(IF(ISNUMBER(F2:F12),F2:F12))</f>
        <v>2.720199393939394</v>
      </c>
    </row>
    <row r="16" spans="1:6" x14ac:dyDescent="0.25">
      <c r="C16">
        <f>C15/1000</f>
        <v>47.1355</v>
      </c>
    </row>
    <row r="19" spans="2:2" x14ac:dyDescent="0.25">
      <c r="B19">
        <f>MAX(B2:B15)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workbookViewId="0">
      <selection activeCell="B19" sqref="B19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9.5090000000000003</v>
      </c>
      <c r="B2">
        <v>1</v>
      </c>
      <c r="C2">
        <v>9506</v>
      </c>
      <c r="D2">
        <v>5</v>
      </c>
      <c r="F2">
        <f t="shared" ref="F2:F12" si="0">C2/(D2*1000)</f>
        <v>1.9012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9506</v>
      </c>
      <c r="F15">
        <f t="array" ref="F15">AVERAGE(IF(ISNUMBER(F2:F12),F2:F12))</f>
        <v>1.9012</v>
      </c>
    </row>
    <row r="16" spans="1:6" x14ac:dyDescent="0.25">
      <c r="C16">
        <f>C15/1000</f>
        <v>9.5060000000000002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9"/>
  <sheetViews>
    <sheetView workbookViewId="0">
      <selection activeCell="B19" sqref="B19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13.343</v>
      </c>
      <c r="B2">
        <v>1</v>
      </c>
      <c r="C2">
        <v>13341</v>
      </c>
      <c r="D2">
        <v>4</v>
      </c>
      <c r="F2">
        <f t="shared" ref="F2:F12" si="0">C2/(D2*1000)</f>
        <v>3.3352499999999998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13341</v>
      </c>
      <c r="F15">
        <f t="array" ref="F15">AVERAGE(IF(ISNUMBER(F2:F12),F2:F12))</f>
        <v>3.3352499999999998</v>
      </c>
    </row>
    <row r="16" spans="1:6" x14ac:dyDescent="0.25">
      <c r="C16">
        <f>C15/1000</f>
        <v>13.340999999999999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9"/>
  <sheetViews>
    <sheetView workbookViewId="0">
      <selection activeCell="B19" sqref="B19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48.399000000000001</v>
      </c>
      <c r="B2">
        <v>1</v>
      </c>
      <c r="C2">
        <v>48386</v>
      </c>
      <c r="D2">
        <v>8</v>
      </c>
      <c r="F2">
        <f t="shared" ref="F2:F12" si="0">C2/(D2*1000)</f>
        <v>6.0482500000000003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48386</v>
      </c>
      <c r="F15">
        <f t="array" ref="F15">AVERAGE(IF(ISNUMBER(F2:F12),F2:F12))</f>
        <v>6.0482500000000003</v>
      </c>
    </row>
    <row r="16" spans="1:6" x14ac:dyDescent="0.25">
      <c r="C16">
        <f>C15/1000</f>
        <v>48.386000000000003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3.3240740740740739E-5</v>
      </c>
      <c r="B2">
        <v>1</v>
      </c>
      <c r="C2">
        <v>2869</v>
      </c>
      <c r="D2">
        <v>1</v>
      </c>
      <c r="F2">
        <f t="shared" ref="F2:F12" si="0">C2/(D2*1000)</f>
        <v>2.8690000000000002</v>
      </c>
    </row>
    <row r="3" spans="1:6" x14ac:dyDescent="0.25">
      <c r="A3" s="1">
        <v>4.0314004629629632E-3</v>
      </c>
      <c r="B3">
        <v>2</v>
      </c>
      <c r="C3">
        <v>343911</v>
      </c>
      <c r="D3">
        <v>45</v>
      </c>
      <c r="F3">
        <f t="shared" si="0"/>
        <v>7.6424666666666665</v>
      </c>
    </row>
    <row r="4" spans="1:6" x14ac:dyDescent="0.25">
      <c r="A4" s="1">
        <v>8.1433680555555565E-3</v>
      </c>
      <c r="B4">
        <v>3</v>
      </c>
      <c r="C4">
        <v>353796</v>
      </c>
      <c r="D4">
        <v>50</v>
      </c>
      <c r="F4">
        <f t="shared" si="0"/>
        <v>7.07592</v>
      </c>
    </row>
    <row r="5" spans="1:6" x14ac:dyDescent="0.25">
      <c r="A5" s="1">
        <v>1.4650381944444445E-2</v>
      </c>
      <c r="B5">
        <v>4</v>
      </c>
      <c r="C5">
        <v>561015</v>
      </c>
      <c r="D5">
        <v>72</v>
      </c>
      <c r="F5">
        <f t="shared" si="0"/>
        <v>7.7918750000000001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315397.75</v>
      </c>
      <c r="F15">
        <f t="array" ref="F15">AVERAGE(IF(ISNUMBER(F2:F12),F2:F12))</f>
        <v>6.344815416666667</v>
      </c>
    </row>
    <row r="16" spans="1:6" x14ac:dyDescent="0.25">
      <c r="C16">
        <f>C15/1000</f>
        <v>315.39774999999997</v>
      </c>
    </row>
    <row r="19" spans="2:2" x14ac:dyDescent="0.25">
      <c r="B19">
        <f>MAX(B2:B15)</f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9"/>
  <sheetViews>
    <sheetView workbookViewId="0">
      <selection activeCell="B19" sqref="B19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18.861999999999998</v>
      </c>
      <c r="B2">
        <v>1</v>
      </c>
      <c r="C2">
        <v>18858</v>
      </c>
      <c r="D2">
        <v>4</v>
      </c>
      <c r="F2">
        <f t="shared" ref="F2:F12" si="0">C2/(D2*1000)</f>
        <v>4.7145000000000001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18858</v>
      </c>
      <c r="F15">
        <f t="array" ref="F15">AVERAGE(IF(ISNUMBER(F2:F12),F2:F12))</f>
        <v>4.7145000000000001</v>
      </c>
    </row>
    <row r="16" spans="1:6" x14ac:dyDescent="0.25">
      <c r="C16">
        <f>C15/1000</f>
        <v>18.858000000000001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5.7190972222222213E-4</v>
      </c>
      <c r="B2">
        <v>1</v>
      </c>
      <c r="C2">
        <v>49411</v>
      </c>
      <c r="D2">
        <v>9</v>
      </c>
      <c r="F2">
        <f t="shared" ref="F2:F12" si="0">C2/(D2*1000)</f>
        <v>5.4901111111111112</v>
      </c>
    </row>
    <row r="3" spans="1:6" x14ac:dyDescent="0.25">
      <c r="A3" s="1">
        <v>1.6480555555555554E-3</v>
      </c>
      <c r="B3">
        <v>2</v>
      </c>
      <c r="C3">
        <v>91882</v>
      </c>
      <c r="D3">
        <v>18</v>
      </c>
      <c r="F3">
        <f t="shared" si="0"/>
        <v>5.1045555555555557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70646.5</v>
      </c>
      <c r="F15">
        <f t="array" ref="F15">AVERAGE(IF(ISNUMBER(F2:F12),F2:F12))</f>
        <v>5.2973333333333334</v>
      </c>
    </row>
    <row r="16" spans="1:6" x14ac:dyDescent="0.25">
      <c r="C16">
        <f>C15/1000</f>
        <v>70.646500000000003</v>
      </c>
    </row>
    <row r="19" spans="2:2" x14ac:dyDescent="0.25">
      <c r="B19">
        <f>MAX(B2:B15)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4.9289351851851849E-4</v>
      </c>
      <c r="B2">
        <v>1</v>
      </c>
      <c r="C2">
        <v>42583</v>
      </c>
      <c r="D2">
        <v>7</v>
      </c>
      <c r="F2">
        <f t="shared" ref="F2:F12" si="0">C2/(D2*1000)</f>
        <v>6.0832857142857142</v>
      </c>
    </row>
    <row r="3" spans="1:6" x14ac:dyDescent="0.25">
      <c r="A3" s="1">
        <v>1.0990277777777778E-3</v>
      </c>
      <c r="B3">
        <v>2</v>
      </c>
      <c r="C3">
        <v>50426</v>
      </c>
      <c r="D3">
        <v>12</v>
      </c>
      <c r="F3">
        <f t="shared" si="0"/>
        <v>4.2021666666666668</v>
      </c>
    </row>
    <row r="4" spans="1:6" x14ac:dyDescent="0.25">
      <c r="A4" s="1">
        <v>1.6941203703703704E-3</v>
      </c>
      <c r="B4">
        <v>3</v>
      </c>
      <c r="C4">
        <v>50480</v>
      </c>
      <c r="D4">
        <v>8</v>
      </c>
      <c r="F4">
        <f t="shared" si="0"/>
        <v>6.31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47829.666666666664</v>
      </c>
      <c r="F15">
        <f t="array" ref="F15">AVERAGE(IF(ISNUMBER(F2:F12),F2:F12))</f>
        <v>5.5318174603174599</v>
      </c>
    </row>
    <row r="16" spans="1:6" x14ac:dyDescent="0.25">
      <c r="C16">
        <f>C15/1000</f>
        <v>47.829666666666661</v>
      </c>
    </row>
    <row r="19" spans="2:2" x14ac:dyDescent="0.25">
      <c r="B19">
        <f>MAX(B2:B15)</f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4.0407407407407406E-4</v>
      </c>
      <c r="B2">
        <v>1</v>
      </c>
      <c r="C2">
        <v>34908</v>
      </c>
      <c r="D2">
        <v>11</v>
      </c>
      <c r="F2">
        <f t="shared" ref="F2:F12" si="0">C2/(D2*1000)</f>
        <v>3.1734545454545455</v>
      </c>
    </row>
    <row r="3" spans="1:6" x14ac:dyDescent="0.25">
      <c r="A3" s="1">
        <v>7.5086805555555551E-4</v>
      </c>
      <c r="B3">
        <v>2</v>
      </c>
      <c r="C3">
        <v>28924</v>
      </c>
      <c r="D3">
        <v>4</v>
      </c>
      <c r="F3">
        <f t="shared" si="0"/>
        <v>7.2309999999999999</v>
      </c>
    </row>
    <row r="4" spans="1:6" x14ac:dyDescent="0.25">
      <c r="A4" s="1">
        <v>1.2225231481481481E-3</v>
      </c>
      <c r="B4">
        <v>3</v>
      </c>
      <c r="C4">
        <v>40008</v>
      </c>
      <c r="D4">
        <v>11</v>
      </c>
      <c r="F4">
        <f t="shared" si="0"/>
        <v>3.6370909090909089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34613.333333333336</v>
      </c>
      <c r="F15">
        <f t="array" ref="F15">AVERAGE(IF(ISNUMBER(F2:F12),F2:F12))</f>
        <v>4.6805151515151513</v>
      </c>
    </row>
    <row r="16" spans="1:6" x14ac:dyDescent="0.25">
      <c r="C16">
        <f>C15/1000</f>
        <v>34.613333333333337</v>
      </c>
    </row>
    <row r="19" spans="2:2" x14ac:dyDescent="0.25">
      <c r="B19">
        <f>MAX(B2:B15)</f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6.6376157407407399E-4</v>
      </c>
      <c r="B2">
        <v>1</v>
      </c>
      <c r="C2">
        <v>57345</v>
      </c>
      <c r="D2">
        <v>6</v>
      </c>
      <c r="F2">
        <f t="shared" ref="F2:F12" si="0">C2/(D2*1000)</f>
        <v>9.5574999999999992</v>
      </c>
    </row>
    <row r="3" spans="1:6" x14ac:dyDescent="0.25">
      <c r="A3" s="1">
        <v>1.0230439814814813E-3</v>
      </c>
      <c r="B3">
        <v>2</v>
      </c>
      <c r="C3">
        <v>26367</v>
      </c>
      <c r="D3">
        <v>3</v>
      </c>
      <c r="F3">
        <f t="shared" si="0"/>
        <v>8.7889999999999997</v>
      </c>
    </row>
    <row r="4" spans="1:6" x14ac:dyDescent="0.25">
      <c r="A4" s="1">
        <v>1.2605555555555556E-3</v>
      </c>
      <c r="B4">
        <v>3</v>
      </c>
      <c r="C4">
        <v>17647</v>
      </c>
      <c r="D4">
        <v>4</v>
      </c>
      <c r="F4">
        <f t="shared" si="0"/>
        <v>4.4117499999999996</v>
      </c>
    </row>
    <row r="5" spans="1:6" x14ac:dyDescent="0.25">
      <c r="A5" s="1">
        <v>2.4829513888888891E-3</v>
      </c>
      <c r="B5">
        <v>4</v>
      </c>
      <c r="C5">
        <v>104134</v>
      </c>
      <c r="D5">
        <v>7</v>
      </c>
      <c r="F5">
        <f t="shared" si="0"/>
        <v>14.876285714285714</v>
      </c>
    </row>
    <row r="6" spans="1:6" x14ac:dyDescent="0.25">
      <c r="A6" s="1">
        <v>3.4489236111111109E-3</v>
      </c>
      <c r="B6">
        <v>5</v>
      </c>
      <c r="C6">
        <v>82356</v>
      </c>
      <c r="D6">
        <v>9</v>
      </c>
      <c r="F6">
        <f t="shared" si="0"/>
        <v>9.1506666666666661</v>
      </c>
    </row>
    <row r="7" spans="1:6" x14ac:dyDescent="0.25">
      <c r="A7" s="1">
        <v>4.5113657407407411E-3</v>
      </c>
      <c r="B7">
        <v>6</v>
      </c>
      <c r="C7">
        <v>84538</v>
      </c>
      <c r="D7">
        <v>9</v>
      </c>
      <c r="F7">
        <f t="shared" si="0"/>
        <v>9.3931111111111107</v>
      </c>
    </row>
    <row r="8" spans="1:6" x14ac:dyDescent="0.25">
      <c r="A8" s="1">
        <v>5.5230671296296295E-3</v>
      </c>
      <c r="B8">
        <v>7</v>
      </c>
      <c r="C8">
        <v>85899</v>
      </c>
      <c r="D8">
        <v>7</v>
      </c>
      <c r="F8">
        <f t="shared" si="0"/>
        <v>12.271285714285714</v>
      </c>
    </row>
    <row r="9" spans="1:6" x14ac:dyDescent="0.25">
      <c r="A9" s="1">
        <v>5.9671296296296287E-3</v>
      </c>
      <c r="B9">
        <v>8</v>
      </c>
      <c r="C9">
        <v>34727</v>
      </c>
      <c r="D9">
        <v>2</v>
      </c>
      <c r="F9">
        <f t="shared" si="0"/>
        <v>17.363499999999998</v>
      </c>
    </row>
    <row r="10" spans="1:6" x14ac:dyDescent="0.25">
      <c r="A10" s="1">
        <v>7.1028819444444438E-3</v>
      </c>
      <c r="B10">
        <v>9</v>
      </c>
      <c r="C10">
        <v>95040</v>
      </c>
      <c r="D10">
        <v>4</v>
      </c>
      <c r="F10">
        <f t="shared" si="0"/>
        <v>23.76</v>
      </c>
    </row>
    <row r="11" spans="1:6" x14ac:dyDescent="0.25">
      <c r="A11" s="1">
        <v>8.1600462962962955E-3</v>
      </c>
      <c r="B11">
        <v>10</v>
      </c>
      <c r="C11">
        <v>90049</v>
      </c>
      <c r="D11">
        <v>7</v>
      </c>
      <c r="F11">
        <f t="shared" si="0"/>
        <v>12.864142857142857</v>
      </c>
    </row>
    <row r="12" spans="1:6" x14ac:dyDescent="0.25">
      <c r="A12" s="1">
        <v>1.0473275462962964E-2</v>
      </c>
      <c r="B12">
        <v>11</v>
      </c>
      <c r="C12">
        <v>196469</v>
      </c>
      <c r="D12">
        <v>13</v>
      </c>
      <c r="F12">
        <f t="shared" si="0"/>
        <v>15.113</v>
      </c>
    </row>
    <row r="15" spans="1:6" x14ac:dyDescent="0.25">
      <c r="C15">
        <f t="array" ref="C15">AVERAGE(IF(ISNUMBER(C2:C12),C2:C12))</f>
        <v>79506.454545454544</v>
      </c>
      <c r="F15">
        <f t="array" ref="F15">AVERAGE(IF(ISNUMBER(F2:F12),F2:F12))</f>
        <v>12.504567460317462</v>
      </c>
    </row>
    <row r="16" spans="1:6" x14ac:dyDescent="0.25">
      <c r="C16">
        <f>C15/1000</f>
        <v>79.506454545454545</v>
      </c>
    </row>
    <row r="19" spans="2:2" x14ac:dyDescent="0.25">
      <c r="B19">
        <f>MAX(B2:B15)</f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6.6027777777777775E-4</v>
      </c>
      <c r="B2">
        <v>1</v>
      </c>
      <c r="C2">
        <v>57046</v>
      </c>
      <c r="D2">
        <v>14</v>
      </c>
      <c r="F2">
        <f t="shared" ref="F2:F12" si="0">C2/(D2*1000)</f>
        <v>4.0747142857142853</v>
      </c>
    </row>
    <row r="3" spans="1:6" x14ac:dyDescent="0.25">
      <c r="A3" s="1">
        <v>2.622627314814815E-3</v>
      </c>
      <c r="B3">
        <v>2</v>
      </c>
      <c r="C3">
        <v>169211</v>
      </c>
      <c r="D3">
        <v>21</v>
      </c>
      <c r="F3">
        <f t="shared" si="0"/>
        <v>8.0576666666666661</v>
      </c>
    </row>
    <row r="4" spans="1:6" x14ac:dyDescent="0.25">
      <c r="A4" s="1">
        <v>2.939108796296296E-3</v>
      </c>
      <c r="B4">
        <v>3</v>
      </c>
      <c r="C4">
        <v>25383</v>
      </c>
      <c r="D4">
        <v>3</v>
      </c>
      <c r="F4">
        <f t="shared" si="0"/>
        <v>8.4610000000000003</v>
      </c>
    </row>
    <row r="5" spans="1:6" x14ac:dyDescent="0.25">
      <c r="A5" s="1">
        <v>4.1243981481481487E-3</v>
      </c>
      <c r="B5">
        <v>4</v>
      </c>
      <c r="C5">
        <v>101039</v>
      </c>
      <c r="D5">
        <v>12</v>
      </c>
      <c r="F5">
        <f t="shared" si="0"/>
        <v>8.4199166666666674</v>
      </c>
    </row>
    <row r="6" spans="1:6" x14ac:dyDescent="0.25">
      <c r="A6" s="1">
        <v>4.7977199074074077E-3</v>
      </c>
      <c r="B6">
        <v>5</v>
      </c>
      <c r="C6">
        <v>57152</v>
      </c>
      <c r="D6">
        <v>12</v>
      </c>
      <c r="F6">
        <f t="shared" si="0"/>
        <v>4.762666666666667</v>
      </c>
    </row>
    <row r="7" spans="1:6" x14ac:dyDescent="0.25">
      <c r="A7" s="1">
        <v>6.7081365740740738E-3</v>
      </c>
      <c r="B7">
        <v>6</v>
      </c>
      <c r="C7">
        <v>159999</v>
      </c>
      <c r="D7">
        <v>34</v>
      </c>
      <c r="F7">
        <f t="shared" si="0"/>
        <v>4.7058529411764702</v>
      </c>
    </row>
    <row r="8" spans="1:6" x14ac:dyDescent="0.25">
      <c r="A8" s="1">
        <v>7.3731365740740745E-3</v>
      </c>
      <c r="B8">
        <v>7</v>
      </c>
      <c r="C8">
        <v>55008</v>
      </c>
      <c r="D8">
        <v>6</v>
      </c>
      <c r="F8">
        <f t="shared" si="0"/>
        <v>9.1679999999999993</v>
      </c>
    </row>
    <row r="9" spans="1:6" x14ac:dyDescent="0.25">
      <c r="A9" s="1">
        <v>8.3235995370370373E-3</v>
      </c>
      <c r="B9">
        <v>8</v>
      </c>
      <c r="C9">
        <v>78668</v>
      </c>
      <c r="D9">
        <v>10</v>
      </c>
      <c r="F9">
        <f t="shared" si="0"/>
        <v>7.8667999999999996</v>
      </c>
    </row>
    <row r="10" spans="1:6" x14ac:dyDescent="0.25">
      <c r="A10" s="1">
        <v>9.3765046296296305E-3</v>
      </c>
      <c r="B10">
        <v>9</v>
      </c>
      <c r="C10">
        <v>90219</v>
      </c>
      <c r="D10">
        <v>33</v>
      </c>
      <c r="F10">
        <f t="shared" si="0"/>
        <v>2.7339090909090911</v>
      </c>
    </row>
    <row r="11" spans="1:6" x14ac:dyDescent="0.25">
      <c r="A11" s="1">
        <v>1.111917824074074E-2</v>
      </c>
      <c r="B11">
        <v>10</v>
      </c>
      <c r="C11">
        <v>149710</v>
      </c>
      <c r="D11">
        <v>22</v>
      </c>
      <c r="F11">
        <f t="shared" si="0"/>
        <v>6.8049999999999997</v>
      </c>
    </row>
    <row r="12" spans="1:6" x14ac:dyDescent="0.25">
      <c r="A12" s="1">
        <v>1.1782719907407408E-2</v>
      </c>
      <c r="B12">
        <v>11</v>
      </c>
      <c r="C12">
        <v>52535</v>
      </c>
      <c r="D12">
        <v>30</v>
      </c>
      <c r="F12">
        <f t="shared" si="0"/>
        <v>1.7511666666666668</v>
      </c>
    </row>
    <row r="15" spans="1:6" x14ac:dyDescent="0.25">
      <c r="C15">
        <f t="array" ref="C15">AVERAGE(IF(ISNUMBER(C2:C12),C2:C12))</f>
        <v>90542.727272727279</v>
      </c>
      <c r="F15">
        <f t="array" ref="F15">AVERAGE(IF(ISNUMBER(F2:F12),F2:F12))</f>
        <v>6.0733357258605913</v>
      </c>
    </row>
    <row r="16" spans="1:6" x14ac:dyDescent="0.25">
      <c r="C16">
        <f>C15/1000</f>
        <v>90.542727272727276</v>
      </c>
    </row>
    <row r="19" spans="2:2" x14ac:dyDescent="0.25">
      <c r="B19">
        <f>MAX(B2:B15)</f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1.6726851851851853E-4</v>
      </c>
      <c r="B2">
        <v>1</v>
      </c>
      <c r="C2">
        <v>14450</v>
      </c>
      <c r="D2">
        <v>6</v>
      </c>
      <c r="F2">
        <f t="shared" ref="F2:F12" si="0">C2/(D2*1000)</f>
        <v>2.4083333333333332</v>
      </c>
    </row>
    <row r="3" spans="1:6" x14ac:dyDescent="0.25">
      <c r="A3" s="1">
        <v>1.1171527777777779E-3</v>
      </c>
      <c r="B3">
        <v>2</v>
      </c>
      <c r="C3">
        <v>80621</v>
      </c>
      <c r="D3">
        <v>25</v>
      </c>
      <c r="F3">
        <f t="shared" si="0"/>
        <v>3.2248399999999999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47535.5</v>
      </c>
      <c r="F15">
        <f t="array" ref="F15">AVERAGE(IF(ISNUMBER(F2:F12),F2:F12))</f>
        <v>2.8165866666666668</v>
      </c>
    </row>
    <row r="16" spans="1:6" x14ac:dyDescent="0.25">
      <c r="C16">
        <f>C15/1000</f>
        <v>47.535499999999999</v>
      </c>
    </row>
    <row r="19" spans="2:2" x14ac:dyDescent="0.25">
      <c r="B19">
        <f>MAX(B2:B15)</f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9"/>
  <sheetViews>
    <sheetView workbookViewId="0">
      <selection activeCell="C16" sqref="C16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1.2434722222222222E-3</v>
      </c>
      <c r="B2">
        <v>1</v>
      </c>
      <c r="C2">
        <v>107435</v>
      </c>
      <c r="D2">
        <v>31</v>
      </c>
      <c r="F2">
        <f t="shared" ref="F2:F12" si="0">C2/(D2*1000)</f>
        <v>3.4656451612903227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107435</v>
      </c>
      <c r="F15">
        <f t="array" ref="F15">AVERAGE(IF(ISNUMBER(F2:F12),F2:F12))</f>
        <v>3.4656451612903227</v>
      </c>
    </row>
    <row r="16" spans="1:6" x14ac:dyDescent="0.25">
      <c r="C16">
        <f>C15/1000</f>
        <v>107.435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5.5170138888888881E-3</v>
      </c>
      <c r="B2">
        <v>1</v>
      </c>
      <c r="C2">
        <v>476665</v>
      </c>
      <c r="D2">
        <v>82</v>
      </c>
      <c r="F2">
        <f t="shared" ref="F2:F12" si="0">C2/(D2*1000)</f>
        <v>5.8129878048780483</v>
      </c>
    </row>
    <row r="3" spans="1:6" x14ac:dyDescent="0.25">
      <c r="A3" s="1">
        <v>6.7079629629629633E-3</v>
      </c>
      <c r="B3">
        <v>2</v>
      </c>
      <c r="C3">
        <v>94129</v>
      </c>
      <c r="D3">
        <v>19</v>
      </c>
      <c r="F3">
        <f t="shared" si="0"/>
        <v>4.9541578947368423</v>
      </c>
    </row>
    <row r="4" spans="1:6" x14ac:dyDescent="0.25">
      <c r="A4" s="1">
        <v>8.0845486111111118E-3</v>
      </c>
      <c r="B4">
        <v>3</v>
      </c>
      <c r="C4">
        <v>117737</v>
      </c>
      <c r="D4">
        <v>24</v>
      </c>
      <c r="F4">
        <f t="shared" si="0"/>
        <v>4.9057083333333331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229510.33333333334</v>
      </c>
      <c r="F15">
        <f t="array" ref="F15">AVERAGE(IF(ISNUMBER(F2:F12),F2:F12))</f>
        <v>5.2242846776494076</v>
      </c>
    </row>
    <row r="16" spans="1:6" x14ac:dyDescent="0.25">
      <c r="C16">
        <f>C15/1000</f>
        <v>229.51033333333334</v>
      </c>
    </row>
    <row r="19" spans="2:2" x14ac:dyDescent="0.25">
      <c r="B19">
        <f>MAX(B2:B15)</f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9"/>
  <sheetViews>
    <sheetView workbookViewId="0">
      <selection activeCell="B19" sqref="B19"/>
    </sheetView>
  </sheetViews>
  <sheetFormatPr defaultRowHeight="15" x14ac:dyDescent="0.25"/>
  <cols>
    <col min="1" max="1" width="6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8.2560000000000002</v>
      </c>
      <c r="B2">
        <v>1</v>
      </c>
      <c r="C2">
        <v>8254</v>
      </c>
      <c r="D2">
        <v>6</v>
      </c>
      <c r="F2">
        <f t="shared" ref="F2:F12" si="0">C2/(D2*1000)</f>
        <v>1.3756666666666666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8254</v>
      </c>
      <c r="F15">
        <f t="array" ref="F15">AVERAGE(IF(ISNUMBER(F2:F12),F2:F12))</f>
        <v>1.3756666666666666</v>
      </c>
    </row>
    <row r="16" spans="1:6" x14ac:dyDescent="0.25">
      <c r="C16">
        <f>C15/1000</f>
        <v>8.2539999999999996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2.338773148148148E-4</v>
      </c>
      <c r="B2">
        <v>1</v>
      </c>
      <c r="C2">
        <v>20203</v>
      </c>
      <c r="D2">
        <v>3</v>
      </c>
      <c r="F2">
        <f t="shared" ref="F2:F12" si="0">C2/(D2*1000)</f>
        <v>6.7343333333333337</v>
      </c>
    </row>
    <row r="3" spans="1:6" x14ac:dyDescent="0.25">
      <c r="A3" s="1">
        <v>4.589467592592592E-4</v>
      </c>
      <c r="B3">
        <v>2</v>
      </c>
      <c r="C3">
        <v>16573</v>
      </c>
      <c r="D3">
        <v>3</v>
      </c>
      <c r="F3">
        <f t="shared" si="0"/>
        <v>5.5243333333333338</v>
      </c>
    </row>
    <row r="4" spans="1:6" x14ac:dyDescent="0.25">
      <c r="A4" s="1">
        <v>6.1069444444444452E-4</v>
      </c>
      <c r="B4">
        <v>3</v>
      </c>
      <c r="C4">
        <v>11239</v>
      </c>
      <c r="D4">
        <v>2</v>
      </c>
      <c r="F4">
        <f t="shared" si="0"/>
        <v>5.6195000000000004</v>
      </c>
    </row>
    <row r="5" spans="1:6" x14ac:dyDescent="0.25">
      <c r="A5" s="1">
        <v>1.123576388888889E-3</v>
      </c>
      <c r="B5">
        <v>4</v>
      </c>
      <c r="C5">
        <v>42122</v>
      </c>
      <c r="D5">
        <v>5</v>
      </c>
      <c r="F5">
        <f t="shared" si="0"/>
        <v>8.4244000000000003</v>
      </c>
    </row>
    <row r="6" spans="1:6" x14ac:dyDescent="0.25">
      <c r="A6" s="1">
        <v>4.1707291666666663E-3</v>
      </c>
      <c r="B6">
        <v>5</v>
      </c>
      <c r="C6">
        <v>262121</v>
      </c>
      <c r="D6">
        <v>13</v>
      </c>
      <c r="F6">
        <f t="shared" si="0"/>
        <v>20.163153846153847</v>
      </c>
    </row>
    <row r="7" spans="1:6" x14ac:dyDescent="0.25">
      <c r="A7" s="1">
        <v>5.4767824074074068E-3</v>
      </c>
      <c r="B7">
        <v>6</v>
      </c>
      <c r="C7">
        <v>111842</v>
      </c>
      <c r="D7">
        <v>10</v>
      </c>
      <c r="F7">
        <f t="shared" si="0"/>
        <v>11.184200000000001</v>
      </c>
    </row>
    <row r="8" spans="1:6" x14ac:dyDescent="0.25">
      <c r="A8" s="1">
        <v>6.705787037037037E-3</v>
      </c>
      <c r="B8">
        <v>7</v>
      </c>
      <c r="C8">
        <v>105303</v>
      </c>
      <c r="D8">
        <v>5</v>
      </c>
      <c r="F8">
        <f t="shared" si="0"/>
        <v>21.060600000000001</v>
      </c>
    </row>
    <row r="9" spans="1:6" x14ac:dyDescent="0.25">
      <c r="A9" s="1">
        <v>8.3359143518518513E-3</v>
      </c>
      <c r="B9">
        <v>8</v>
      </c>
      <c r="C9">
        <v>139810</v>
      </c>
      <c r="D9">
        <v>5</v>
      </c>
      <c r="F9">
        <f t="shared" si="0"/>
        <v>27.962</v>
      </c>
    </row>
    <row r="10" spans="1:6" x14ac:dyDescent="0.25">
      <c r="A10" s="1">
        <v>9.0299189814814808E-3</v>
      </c>
      <c r="B10">
        <v>9</v>
      </c>
      <c r="C10">
        <v>59219</v>
      </c>
      <c r="D10">
        <v>7</v>
      </c>
      <c r="F10">
        <f t="shared" si="0"/>
        <v>8.4598571428571425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85381.333333333328</v>
      </c>
      <c r="F15">
        <f t="array" ref="F15">AVERAGE(IF(ISNUMBER(F2:F12),F2:F12))</f>
        <v>12.792486406186407</v>
      </c>
    </row>
    <row r="16" spans="1:6" x14ac:dyDescent="0.25">
      <c r="C16">
        <f>C15/1000</f>
        <v>85.38133333333333</v>
      </c>
    </row>
    <row r="19" spans="2:2" x14ac:dyDescent="0.25">
      <c r="B19">
        <f>MAX(B2:B15)</f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9"/>
  <sheetViews>
    <sheetView workbookViewId="0">
      <selection activeCell="B19" sqref="B19"/>
    </sheetView>
  </sheetViews>
  <sheetFormatPr defaultRowHeight="15" x14ac:dyDescent="0.25"/>
  <cols>
    <col min="1" max="1" width="7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36.247999999999998</v>
      </c>
      <c r="B2">
        <v>1</v>
      </c>
      <c r="C2">
        <v>36242</v>
      </c>
      <c r="D2">
        <v>36</v>
      </c>
      <c r="F2">
        <f t="shared" ref="F2:F12" si="0">C2/(D2*1000)</f>
        <v>1.0067222222222223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36242</v>
      </c>
      <c r="F15">
        <f t="array" ref="F15">AVERAGE(IF(ISNUMBER(F2:F12),F2:F12))</f>
        <v>1.0067222222222223</v>
      </c>
    </row>
    <row r="16" spans="1:6" x14ac:dyDescent="0.25">
      <c r="C16">
        <f>C15/1000</f>
        <v>36.241999999999997</v>
      </c>
    </row>
    <row r="19" spans="2:2" x14ac:dyDescent="0.25">
      <c r="B19">
        <f>MAX(B2:B15)</f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9"/>
  <sheetViews>
    <sheetView workbookViewId="0">
      <selection activeCell="I18" sqref="I18"/>
    </sheetView>
  </sheetViews>
  <sheetFormatPr defaultRowHeight="15" x14ac:dyDescent="0.25"/>
  <cols>
    <col min="1" max="1" width="7.140625" bestFit="1" customWidth="1"/>
    <col min="2" max="2" width="5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2.4784722222222227E-4</v>
      </c>
      <c r="B2">
        <v>1</v>
      </c>
      <c r="C2">
        <v>21409</v>
      </c>
      <c r="D2">
        <v>8</v>
      </c>
      <c r="F2">
        <f t="shared" ref="F2:F12" si="0">C2/(D2*1000)</f>
        <v>2.6761249999999999</v>
      </c>
    </row>
    <row r="3" spans="1:6" x14ac:dyDescent="0.25">
      <c r="A3" s="1">
        <v>1.1655324074074074E-3</v>
      </c>
      <c r="B3">
        <v>2</v>
      </c>
      <c r="C3">
        <v>78132</v>
      </c>
      <c r="D3">
        <v>40</v>
      </c>
      <c r="F3">
        <f t="shared" si="0"/>
        <v>1.9533</v>
      </c>
    </row>
    <row r="4" spans="1:6" x14ac:dyDescent="0.25">
      <c r="A4" s="1">
        <v>2.1332407407407407E-3</v>
      </c>
      <c r="B4">
        <v>3</v>
      </c>
      <c r="C4">
        <v>82793</v>
      </c>
      <c r="D4">
        <v>32</v>
      </c>
      <c r="F4">
        <f t="shared" si="0"/>
        <v>2.5872812500000002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5" spans="1:6" x14ac:dyDescent="0.25">
      <c r="C15">
        <f t="array" ref="C15">AVERAGE(IF(ISNUMBER(C2:C12),C2:C12))</f>
        <v>60778</v>
      </c>
      <c r="F15">
        <f t="array" ref="F15">AVERAGE(IF(ISNUMBER(F2:F12),F2:F12))</f>
        <v>2.40556875</v>
      </c>
    </row>
    <row r="16" spans="1:6" x14ac:dyDescent="0.25">
      <c r="C16">
        <f>C15/1000</f>
        <v>60.777999999999999</v>
      </c>
    </row>
    <row r="19" spans="2:2" x14ac:dyDescent="0.25">
      <c r="B19">
        <f>MAX(B2:B15)</f>
        <v>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8:I27"/>
  <sheetViews>
    <sheetView tabSelected="1" topLeftCell="A6" workbookViewId="0">
      <selection activeCell="I9" sqref="I9:I27"/>
    </sheetView>
  </sheetViews>
  <sheetFormatPr defaultRowHeight="15" x14ac:dyDescent="0.25"/>
  <sheetData>
    <row r="8" spans="1:9" x14ac:dyDescent="0.25">
      <c r="B8" t="s">
        <v>7</v>
      </c>
      <c r="F8" t="s">
        <v>8</v>
      </c>
      <c r="I8" t="s">
        <v>9</v>
      </c>
    </row>
    <row r="9" spans="1:9" x14ac:dyDescent="0.25">
      <c r="A9" t="s">
        <v>5</v>
      </c>
      <c r="B9">
        <f>Sheet1!$B$19</f>
        <v>3</v>
      </c>
      <c r="F9">
        <f>Sheet1!$C$16</f>
        <v>60.777999999999999</v>
      </c>
      <c r="I9">
        <f>Sheet1!$F$15</f>
        <v>2.40556875</v>
      </c>
    </row>
    <row r="10" spans="1:9" x14ac:dyDescent="0.25">
      <c r="A10" t="s">
        <v>6</v>
      </c>
      <c r="B10">
        <f>Sheet2!$B$19</f>
        <v>1</v>
      </c>
      <c r="F10">
        <f>Sheet2!$C$16</f>
        <v>36.241999999999997</v>
      </c>
      <c r="I10">
        <f>Sheet2!$F$15</f>
        <v>1.0067222222222223</v>
      </c>
    </row>
    <row r="11" spans="1:9" x14ac:dyDescent="0.25">
      <c r="B11">
        <f>Sheet3!$B$19</f>
        <v>9</v>
      </c>
      <c r="F11">
        <f>Sheet3!$C$16</f>
        <v>85.38133333333333</v>
      </c>
      <c r="I11">
        <f>Sheet3!$F$15</f>
        <v>12.792486406186407</v>
      </c>
    </row>
    <row r="12" spans="1:9" x14ac:dyDescent="0.25">
      <c r="B12">
        <f>Sheet4!$B$19</f>
        <v>1</v>
      </c>
      <c r="F12">
        <f>Sheet4!$C$16</f>
        <v>8.2539999999999996</v>
      </c>
      <c r="I12">
        <f>Sheet4!$F$15</f>
        <v>1.3756666666666666</v>
      </c>
    </row>
    <row r="13" spans="1:9" x14ac:dyDescent="0.25">
      <c r="B13">
        <f>Sheet5!$B$19</f>
        <v>3</v>
      </c>
      <c r="F13">
        <f>Sheet5!$C$16</f>
        <v>229.51033333333334</v>
      </c>
      <c r="I13">
        <f>Sheet5!$F$15</f>
        <v>5.2242846776494076</v>
      </c>
    </row>
    <row r="14" spans="1:9" x14ac:dyDescent="0.25">
      <c r="B14">
        <f>Sheet6!$B$19</f>
        <v>1</v>
      </c>
      <c r="F14">
        <f>Sheet6!$C$16</f>
        <v>107.435</v>
      </c>
      <c r="I14">
        <f>Sheet6!$F$15</f>
        <v>3.4656451612903227</v>
      </c>
    </row>
    <row r="15" spans="1:9" x14ac:dyDescent="0.25">
      <c r="B15">
        <f>Sheet7!$B$19</f>
        <v>2</v>
      </c>
      <c r="F15">
        <f>Sheet7!$C$16</f>
        <v>47.535499999999999</v>
      </c>
      <c r="I15">
        <f>Sheet7!$F$15</f>
        <v>2.8165866666666668</v>
      </c>
    </row>
    <row r="16" spans="1:9" x14ac:dyDescent="0.25">
      <c r="B16">
        <f>Sheet8!$B$19</f>
        <v>11</v>
      </c>
      <c r="F16">
        <f>Sheet8!$C$16</f>
        <v>90.542727272727276</v>
      </c>
      <c r="I16">
        <f>Sheet8!$F$15</f>
        <v>6.0733357258605913</v>
      </c>
    </row>
    <row r="17" spans="2:9" x14ac:dyDescent="0.25">
      <c r="B17">
        <f>Sheet9!$B$19</f>
        <v>11</v>
      </c>
      <c r="F17">
        <f>Sheet9!$C$16</f>
        <v>79.506454545454545</v>
      </c>
      <c r="I17">
        <f>Sheet9!$F$15</f>
        <v>12.504567460317462</v>
      </c>
    </row>
    <row r="18" spans="2:9" x14ac:dyDescent="0.25">
      <c r="B18">
        <f>Sheet10!$B$19</f>
        <v>3</v>
      </c>
      <c r="F18">
        <f>Sheet10!$C$16</f>
        <v>34.613333333333337</v>
      </c>
      <c r="I18">
        <f>Sheet10!$F$15</f>
        <v>4.6805151515151513</v>
      </c>
    </row>
    <row r="19" spans="2:9" x14ac:dyDescent="0.25">
      <c r="B19">
        <f>Sheet11!$B$19</f>
        <v>3</v>
      </c>
      <c r="F19">
        <f>Sheet11!$C$16</f>
        <v>47.829666666666661</v>
      </c>
      <c r="I19">
        <f>Sheet11!$F$15</f>
        <v>5.5318174603174599</v>
      </c>
    </row>
    <row r="20" spans="2:9" x14ac:dyDescent="0.25">
      <c r="B20">
        <f>Sheet12!$B$19</f>
        <v>2</v>
      </c>
      <c r="F20">
        <f>Sheet12!$C$16</f>
        <v>70.646500000000003</v>
      </c>
      <c r="I20">
        <f>Sheet12!$F$15</f>
        <v>5.2973333333333334</v>
      </c>
    </row>
    <row r="21" spans="2:9" x14ac:dyDescent="0.25">
      <c r="B21">
        <f>Sheet13!$B$19</f>
        <v>1</v>
      </c>
      <c r="F21">
        <f>Sheet13!$C$16</f>
        <v>18.858000000000001</v>
      </c>
      <c r="I21">
        <f>Sheet13!$F$15</f>
        <v>4.7145000000000001</v>
      </c>
    </row>
    <row r="22" spans="2:9" x14ac:dyDescent="0.25">
      <c r="B22">
        <f>Sheet14!$B$19</f>
        <v>4</v>
      </c>
      <c r="F22">
        <f>Sheet14!$C$16</f>
        <v>315.39774999999997</v>
      </c>
      <c r="I22">
        <f>Sheet14!$F$15</f>
        <v>6.344815416666667</v>
      </c>
    </row>
    <row r="23" spans="2:9" x14ac:dyDescent="0.25">
      <c r="B23">
        <f>Sheet15!$B$19</f>
        <v>1</v>
      </c>
      <c r="F23">
        <f>Sheet15!$C$16</f>
        <v>48.386000000000003</v>
      </c>
      <c r="I23">
        <f>Sheet15!$F$15</f>
        <v>6.0482500000000003</v>
      </c>
    </row>
    <row r="24" spans="2:9" x14ac:dyDescent="0.25">
      <c r="B24">
        <f>Sheet16!$B$19</f>
        <v>1</v>
      </c>
      <c r="F24">
        <f>Sheet16!$C$16</f>
        <v>13.340999999999999</v>
      </c>
      <c r="I24">
        <f>Sheet16!$F$15</f>
        <v>3.3352499999999998</v>
      </c>
    </row>
    <row r="25" spans="2:9" x14ac:dyDescent="0.25">
      <c r="B25">
        <f>Sheet17!$B$19</f>
        <v>1</v>
      </c>
      <c r="F25">
        <f>Sheet17!$C$16</f>
        <v>9.5060000000000002</v>
      </c>
      <c r="I25">
        <f>Sheet17!$F$15</f>
        <v>1.9012</v>
      </c>
    </row>
    <row r="26" spans="2:9" x14ac:dyDescent="0.25">
      <c r="B26">
        <f>Sheet18!$B$19</f>
        <v>4</v>
      </c>
      <c r="F26">
        <f>Sheet18!$C$16</f>
        <v>47.1355</v>
      </c>
      <c r="I26">
        <f>Sheet18!$F$15</f>
        <v>2.720199393939394</v>
      </c>
    </row>
    <row r="27" spans="2:9" x14ac:dyDescent="0.25">
      <c r="B27">
        <f>Sheet19!$B$19</f>
        <v>4</v>
      </c>
      <c r="F27">
        <f>Sheet19!$C$16</f>
        <v>92.061999999999998</v>
      </c>
      <c r="I27">
        <f>Sheet19!$F$15</f>
        <v>4.8173717439967438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</xdr:col>
                <xdr:colOff>600075</xdr:colOff>
                <xdr:row>1</xdr:row>
                <xdr:rowOff>152400</xdr:rowOff>
              </from>
              <to>
                <xdr:col>3</xdr:col>
                <xdr:colOff>295275</xdr:colOff>
                <xdr:row>3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Sheet19</vt:lpstr>
      <vt:lpstr>Sheet18</vt:lpstr>
      <vt:lpstr>Sheet17</vt:lpstr>
      <vt:lpstr>Sheet16</vt:lpstr>
      <vt:lpstr>Sheet15</vt:lpstr>
      <vt:lpstr>Sheet14</vt:lpstr>
      <vt:lpstr>Sheet13</vt:lpstr>
      <vt:lpstr>Sheet12</vt:lpstr>
      <vt:lpstr>Sheet11</vt:lpstr>
      <vt:lpstr>Sheet10</vt:lpstr>
      <vt:lpstr>Sheet9</vt:lpstr>
      <vt:lpstr>Sheet8</vt:lpstr>
      <vt:lpstr>Sheet7</vt:lpstr>
      <vt:lpstr>Sheet6</vt:lpstr>
      <vt:lpstr>Sheet5</vt:lpstr>
      <vt:lpstr>Sheet4</vt:lpstr>
      <vt:lpstr>Sheet3</vt:lpstr>
      <vt:lpstr>Sheet2</vt:lpstr>
      <vt:lpstr>Sheet1</vt:lpstr>
      <vt:lpstr>OldData</vt:lpstr>
      <vt:lpstr>Sheet1!a1_</vt:lpstr>
      <vt:lpstr>Sheet10!a10_</vt:lpstr>
      <vt:lpstr>Sheet11!a11_</vt:lpstr>
      <vt:lpstr>Sheet12!a12_</vt:lpstr>
      <vt:lpstr>Sheet13!a13_</vt:lpstr>
      <vt:lpstr>Sheet14!a14_</vt:lpstr>
      <vt:lpstr>Sheet15!a15_</vt:lpstr>
      <vt:lpstr>Sheet16!a16_</vt:lpstr>
      <vt:lpstr>Sheet17!a17_</vt:lpstr>
      <vt:lpstr>Sheet18!a18_</vt:lpstr>
      <vt:lpstr>Sheet19!a19_</vt:lpstr>
      <vt:lpstr>Sheet2!a2_</vt:lpstr>
      <vt:lpstr>Sheet3!a3_</vt:lpstr>
      <vt:lpstr>Sheet4!a4_</vt:lpstr>
      <vt:lpstr>Sheet5!a5_</vt:lpstr>
      <vt:lpstr>Sheet6!a6_</vt:lpstr>
      <vt:lpstr>Sheet7!a7_</vt:lpstr>
      <vt:lpstr>Sheet8!a8_</vt:lpstr>
      <vt:lpstr>Sheet9!a9_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Chaput</dc:creator>
  <cp:lastModifiedBy>Nicholas Chaput</cp:lastModifiedBy>
  <dcterms:created xsi:type="dcterms:W3CDTF">2017-02-03T02:49:42Z</dcterms:created>
  <dcterms:modified xsi:type="dcterms:W3CDTF">2017-02-04T15:45:47Z</dcterms:modified>
</cp:coreProperties>
</file>